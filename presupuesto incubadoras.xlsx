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os\ETL_SIP\"/>
    </mc:Choice>
  </mc:AlternateContent>
  <xr:revisionPtr revIDLastSave="0" documentId="13_ncr:1_{B5E680DB-4919-4B15-8E0D-70FFD8754FD6}" xr6:coauthVersionLast="47" xr6:coauthVersionMax="47" xr10:uidLastSave="{00000000-0000-0000-0000-000000000000}"/>
  <bookViews>
    <workbookView xWindow="-120" yWindow="-120" windowWidth="20730" windowHeight="11040" activeTab="1" xr2:uid="{16796DCF-AB18-4F61-91BE-3563DA027DA6}"/>
  </bookViews>
  <sheets>
    <sheet name="elemento_costo" sheetId="2" r:id="rId1"/>
    <sheet name="presupuest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9" i="3" l="1"/>
  <c r="F40" i="3"/>
  <c r="F41" i="3"/>
  <c r="F42" i="3"/>
  <c r="F43" i="3"/>
  <c r="F44" i="3"/>
  <c r="F45" i="3"/>
  <c r="F46" i="3"/>
  <c r="F47" i="3"/>
  <c r="F48" i="3"/>
  <c r="F49" i="3"/>
  <c r="F50" i="3"/>
  <c r="A43" i="3"/>
  <c r="A44" i="3"/>
  <c r="A45" i="3"/>
  <c r="A46" i="3"/>
  <c r="A47" i="3"/>
  <c r="A48" i="3"/>
  <c r="A49" i="3"/>
  <c r="A50" i="3"/>
  <c r="F27" i="3"/>
  <c r="F28" i="3"/>
  <c r="F29" i="3"/>
  <c r="F30" i="3"/>
  <c r="F31" i="3"/>
  <c r="F32" i="3"/>
  <c r="F33" i="3"/>
  <c r="F34" i="3"/>
  <c r="F35" i="3"/>
  <c r="F36" i="3"/>
  <c r="F37" i="3"/>
  <c r="F38" i="3"/>
  <c r="A28" i="3"/>
  <c r="A40" i="3" s="1"/>
  <c r="A29" i="3"/>
  <c r="A41" i="3" s="1"/>
  <c r="A30" i="3"/>
  <c r="A42" i="3" s="1"/>
  <c r="A31" i="3"/>
  <c r="A32" i="3"/>
  <c r="A33" i="3"/>
  <c r="A34" i="3"/>
  <c r="A35" i="3"/>
  <c r="A36" i="3"/>
  <c r="A37" i="3"/>
  <c r="A38" i="3"/>
  <c r="A39" i="3"/>
  <c r="A27" i="3"/>
  <c r="F15" i="3"/>
  <c r="F16" i="3"/>
  <c r="F17" i="3"/>
  <c r="F18" i="3"/>
  <c r="F19" i="3"/>
  <c r="F20" i="3"/>
  <c r="F21" i="3"/>
  <c r="F22" i="3"/>
  <c r="F23" i="3"/>
  <c r="F24" i="3"/>
  <c r="F25" i="3"/>
  <c r="F26" i="3"/>
  <c r="A16" i="3"/>
  <c r="A17" i="3"/>
  <c r="A18" i="3"/>
  <c r="A19" i="3"/>
  <c r="A20" i="3"/>
  <c r="A21" i="3"/>
  <c r="A22" i="3"/>
  <c r="A23" i="3"/>
  <c r="A24" i="3"/>
  <c r="A25" i="3"/>
  <c r="A26" i="3"/>
  <c r="A15" i="3"/>
  <c r="A5" i="3"/>
  <c r="A6" i="3" s="1"/>
  <c r="A7" i="3" s="1"/>
  <c r="A8" i="3" s="1"/>
  <c r="A9" i="3" s="1"/>
  <c r="A10" i="3" s="1"/>
  <c r="A11" i="3" s="1"/>
  <c r="A12" i="3" s="1"/>
  <c r="A13" i="3" s="1"/>
  <c r="A14" i="3" s="1"/>
  <c r="A4" i="3"/>
  <c r="F4" i="3"/>
  <c r="F5" i="3"/>
  <c r="F6" i="3"/>
  <c r="F7" i="3"/>
  <c r="F8" i="3"/>
  <c r="F9" i="3"/>
  <c r="F10" i="3"/>
  <c r="F11" i="3"/>
  <c r="F12" i="3"/>
  <c r="F13" i="3"/>
  <c r="F14" i="3"/>
  <c r="F3" i="3"/>
</calcChain>
</file>

<file path=xl/sharedStrings.xml><?xml version="1.0" encoding="utf-8"?>
<sst xmlns="http://schemas.openxmlformats.org/spreadsheetml/2006/main" count="89" uniqueCount="28">
  <si>
    <t>centro_costo</t>
  </si>
  <si>
    <t>Fecha</t>
  </si>
  <si>
    <t>Huevo Incubable</t>
  </si>
  <si>
    <t>Pollito aprovechable</t>
  </si>
  <si>
    <t>% Nacimiento</t>
  </si>
  <si>
    <t xml:space="preserve">Sobretiempo </t>
  </si>
  <si>
    <t>Costo de producción</t>
  </si>
  <si>
    <t>Costo Variable</t>
  </si>
  <si>
    <t>Costo Materia Prima (HI cargado)</t>
  </si>
  <si>
    <t xml:space="preserve">Costo Vacunas </t>
  </si>
  <si>
    <t xml:space="preserve">Costo E.Eléctrica </t>
  </si>
  <si>
    <t>Costo Laboratorio</t>
  </si>
  <si>
    <t xml:space="preserve">Costo Fletes </t>
  </si>
  <si>
    <t>Bono  de producción</t>
  </si>
  <si>
    <t>Costo Fijo</t>
  </si>
  <si>
    <t xml:space="preserve">Costo MOD </t>
  </si>
  <si>
    <t>Jubilación</t>
  </si>
  <si>
    <t>Depreciación</t>
  </si>
  <si>
    <t xml:space="preserve">Costo Mantenimiento + seguro </t>
  </si>
  <si>
    <t>Reasignación de costos</t>
  </si>
  <si>
    <t>Otros Costos Indirectos</t>
  </si>
  <si>
    <t>id</t>
  </si>
  <si>
    <t>AVEGUAYAS</t>
  </si>
  <si>
    <t>AVEPICA</t>
  </si>
  <si>
    <t>INCA</t>
  </si>
  <si>
    <t>INCUBESA</t>
  </si>
  <si>
    <t>incubadora</t>
  </si>
  <si>
    <t>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</si>
</sst>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#,##0.0"/>
    <numFmt numFmtId="168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rgb="FF002060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A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6" borderId="1" xfId="1" applyFont="1" applyFill="1" applyBorder="1" applyAlignment="1">
      <alignment horizontal="center" vertical="center" wrapText="1"/>
    </xf>
    <xf numFmtId="17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  <xf numFmtId="10" fontId="2" fillId="0" borderId="0" xfId="2" applyNumberFormat="1" applyFont="1"/>
    <xf numFmtId="166" fontId="4" fillId="0" borderId="0" xfId="0" applyNumberFormat="1" applyFont="1"/>
    <xf numFmtId="166" fontId="2" fillId="0" borderId="0" xfId="1" applyNumberFormat="1" applyFont="1"/>
    <xf numFmtId="167" fontId="2" fillId="0" borderId="0" xfId="1" applyNumberFormat="1" applyFont="1"/>
    <xf numFmtId="168" fontId="2" fillId="0" borderId="0" xfId="1" applyNumberFormat="1" applyFont="1"/>
    <xf numFmtId="49" fontId="2" fillId="0" borderId="0" xfId="0" applyNumberFormat="1" applyFont="1"/>
    <xf numFmtId="0" fontId="0" fillId="7" borderId="0" xfId="0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9591-9C9C-4866-AF23-DE804BFD260A}">
  <dimension ref="A1:C32"/>
  <sheetViews>
    <sheetView topLeftCell="B1" workbookViewId="0">
      <selection activeCell="B27" sqref="B27"/>
    </sheetView>
  </sheetViews>
  <sheetFormatPr baseColWidth="10" defaultRowHeight="15" x14ac:dyDescent="0.25"/>
  <cols>
    <col min="2" max="2" width="27.7109375" bestFit="1" customWidth="1"/>
    <col min="6" max="6" width="20.28515625" bestFit="1" customWidth="1"/>
    <col min="7" max="7" width="13.28515625" bestFit="1" customWidth="1"/>
  </cols>
  <sheetData>
    <row r="1" spans="1:3" x14ac:dyDescent="0.25">
      <c r="A1" t="s">
        <v>21</v>
      </c>
      <c r="B1" t="s">
        <v>27</v>
      </c>
      <c r="C1" t="s">
        <v>21</v>
      </c>
    </row>
    <row r="2" spans="1:3" x14ac:dyDescent="0.25">
      <c r="A2">
        <v>1</v>
      </c>
      <c r="B2" t="s">
        <v>6</v>
      </c>
      <c r="C2">
        <v>17</v>
      </c>
    </row>
    <row r="3" spans="1:3" x14ac:dyDescent="0.25">
      <c r="A3">
        <v>2</v>
      </c>
      <c r="B3" t="s">
        <v>7</v>
      </c>
      <c r="C3">
        <v>18</v>
      </c>
    </row>
    <row r="4" spans="1:3" x14ac:dyDescent="0.25">
      <c r="A4">
        <v>3</v>
      </c>
      <c r="B4" s="17" t="s">
        <v>8</v>
      </c>
      <c r="C4">
        <v>1</v>
      </c>
    </row>
    <row r="5" spans="1:3" x14ac:dyDescent="0.25">
      <c r="A5">
        <v>4</v>
      </c>
      <c r="B5" s="17" t="s">
        <v>9</v>
      </c>
      <c r="C5">
        <v>15</v>
      </c>
    </row>
    <row r="6" spans="1:3" x14ac:dyDescent="0.25">
      <c r="A6">
        <v>5</v>
      </c>
      <c r="B6" s="17" t="s">
        <v>10</v>
      </c>
      <c r="C6">
        <v>6</v>
      </c>
    </row>
    <row r="7" spans="1:3" x14ac:dyDescent="0.25">
      <c r="A7">
        <v>6</v>
      </c>
      <c r="B7" s="17" t="s">
        <v>11</v>
      </c>
      <c r="C7">
        <v>10</v>
      </c>
    </row>
    <row r="8" spans="1:3" x14ac:dyDescent="0.25">
      <c r="A8">
        <v>7</v>
      </c>
      <c r="B8" s="17" t="s">
        <v>12</v>
      </c>
      <c r="C8">
        <v>7</v>
      </c>
    </row>
    <row r="9" spans="1:3" x14ac:dyDescent="0.25">
      <c r="A9">
        <v>8</v>
      </c>
      <c r="B9" s="17" t="s">
        <v>5</v>
      </c>
      <c r="C9">
        <v>14</v>
      </c>
    </row>
    <row r="10" spans="1:3" x14ac:dyDescent="0.25">
      <c r="A10">
        <v>9</v>
      </c>
      <c r="B10" s="17" t="s">
        <v>13</v>
      </c>
      <c r="C10">
        <v>3</v>
      </c>
    </row>
    <row r="11" spans="1:3" x14ac:dyDescent="0.25">
      <c r="A11">
        <v>10</v>
      </c>
      <c r="B11" t="s">
        <v>14</v>
      </c>
      <c r="C11">
        <v>19</v>
      </c>
    </row>
    <row r="12" spans="1:3" x14ac:dyDescent="0.25">
      <c r="A12">
        <v>11</v>
      </c>
      <c r="B12" s="17" t="s">
        <v>15</v>
      </c>
      <c r="C12">
        <v>5</v>
      </c>
    </row>
    <row r="13" spans="1:3" x14ac:dyDescent="0.25">
      <c r="A13">
        <v>12</v>
      </c>
      <c r="B13" s="17" t="s">
        <v>16</v>
      </c>
      <c r="C13">
        <v>9</v>
      </c>
    </row>
    <row r="14" spans="1:3" x14ac:dyDescent="0.25">
      <c r="A14">
        <v>13</v>
      </c>
      <c r="B14" s="17" t="s">
        <v>17</v>
      </c>
      <c r="C14">
        <v>2</v>
      </c>
    </row>
    <row r="15" spans="1:3" x14ac:dyDescent="0.25">
      <c r="A15">
        <v>14</v>
      </c>
      <c r="B15" s="17" t="s">
        <v>18</v>
      </c>
      <c r="C15">
        <v>11</v>
      </c>
    </row>
    <row r="16" spans="1:3" x14ac:dyDescent="0.25">
      <c r="A16">
        <v>15</v>
      </c>
      <c r="B16" s="17" t="s">
        <v>19</v>
      </c>
      <c r="C16">
        <v>12</v>
      </c>
    </row>
    <row r="17" spans="1:3" x14ac:dyDescent="0.25">
      <c r="A17">
        <v>16</v>
      </c>
      <c r="B17" t="s">
        <v>20</v>
      </c>
      <c r="C17">
        <v>20</v>
      </c>
    </row>
    <row r="18" spans="1:3" x14ac:dyDescent="0.25">
      <c r="A18">
        <v>17</v>
      </c>
    </row>
    <row r="19" spans="1:3" x14ac:dyDescent="0.25">
      <c r="A19">
        <v>18</v>
      </c>
    </row>
    <row r="20" spans="1:3" x14ac:dyDescent="0.25">
      <c r="A20">
        <v>19</v>
      </c>
    </row>
    <row r="21" spans="1:3" x14ac:dyDescent="0.25">
      <c r="A21">
        <v>20</v>
      </c>
    </row>
    <row r="22" spans="1:3" x14ac:dyDescent="0.25">
      <c r="A22">
        <v>21</v>
      </c>
    </row>
    <row r="23" spans="1:3" x14ac:dyDescent="0.25">
      <c r="A23">
        <v>22</v>
      </c>
    </row>
    <row r="24" spans="1:3" x14ac:dyDescent="0.25">
      <c r="A24">
        <v>23</v>
      </c>
    </row>
    <row r="25" spans="1:3" x14ac:dyDescent="0.25">
      <c r="A25">
        <v>24</v>
      </c>
    </row>
    <row r="26" spans="1:3" x14ac:dyDescent="0.25">
      <c r="A26">
        <v>25</v>
      </c>
    </row>
    <row r="27" spans="1:3" x14ac:dyDescent="0.25">
      <c r="A27">
        <v>26</v>
      </c>
    </row>
    <row r="28" spans="1:3" x14ac:dyDescent="0.25">
      <c r="A28">
        <v>27</v>
      </c>
    </row>
    <row r="29" spans="1:3" x14ac:dyDescent="0.25">
      <c r="A29">
        <v>28</v>
      </c>
    </row>
    <row r="30" spans="1:3" x14ac:dyDescent="0.25">
      <c r="A30">
        <v>29</v>
      </c>
    </row>
    <row r="31" spans="1:3" x14ac:dyDescent="0.25">
      <c r="A31">
        <v>30</v>
      </c>
    </row>
    <row r="32" spans="1:3" x14ac:dyDescent="0.25">
      <c r="A32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DC54-BF76-4DB6-861F-C807799E45EB}">
  <dimension ref="A2:V50"/>
  <sheetViews>
    <sheetView tabSelected="1" workbookViewId="0">
      <selection activeCell="A2" sqref="A2"/>
    </sheetView>
  </sheetViews>
  <sheetFormatPr baseColWidth="10" defaultColWidth="11.5703125" defaultRowHeight="11.25" x14ac:dyDescent="0.2"/>
  <cols>
    <col min="1" max="16384" width="11.5703125" style="1"/>
  </cols>
  <sheetData>
    <row r="2" spans="1:22" ht="45" x14ac:dyDescent="0.2">
      <c r="A2" s="2" t="s">
        <v>1</v>
      </c>
      <c r="B2" s="2" t="s">
        <v>0</v>
      </c>
      <c r="C2" s="3" t="s">
        <v>26</v>
      </c>
      <c r="D2" s="4" t="s">
        <v>2</v>
      </c>
      <c r="E2" s="5" t="s">
        <v>3</v>
      </c>
      <c r="F2" s="6" t="s">
        <v>4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5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</row>
    <row r="3" spans="1:22" x14ac:dyDescent="0.2">
      <c r="A3" s="8">
        <v>46053</v>
      </c>
      <c r="B3" s="16">
        <v>667201</v>
      </c>
      <c r="C3" s="1" t="s">
        <v>22</v>
      </c>
      <c r="D3" s="9">
        <v>2901255.6775215897</v>
      </c>
      <c r="E3" s="10">
        <v>2522931.9371727747</v>
      </c>
      <c r="F3" s="11">
        <f>E3/D3</f>
        <v>0.86960000000000015</v>
      </c>
      <c r="G3" s="13">
        <v>1174920.536034791</v>
      </c>
      <c r="H3" s="13">
        <v>1043845.094387182</v>
      </c>
      <c r="I3" s="14">
        <v>948370.41438718198</v>
      </c>
      <c r="J3" s="15">
        <v>32000</v>
      </c>
      <c r="K3" s="15">
        <v>20999.999999999996</v>
      </c>
      <c r="L3" s="15">
        <v>3421.0000000000005</v>
      </c>
      <c r="M3" s="9">
        <v>28460.000000000004</v>
      </c>
      <c r="N3" s="9">
        <v>3559.68</v>
      </c>
      <c r="O3" s="15">
        <v>7033.9999999999991</v>
      </c>
      <c r="P3" s="12">
        <v>131075.44164760894</v>
      </c>
      <c r="Q3" s="15">
        <v>59785.535134507256</v>
      </c>
      <c r="R3" s="15">
        <v>5937.8683075480012</v>
      </c>
      <c r="S3" s="15">
        <v>12893.539999999997</v>
      </c>
      <c r="T3" s="15">
        <v>23519.129999999997</v>
      </c>
      <c r="U3" s="15">
        <v>6710.6159666768108</v>
      </c>
      <c r="V3" s="15">
        <v>22228.752238876885</v>
      </c>
    </row>
    <row r="4" spans="1:22" x14ac:dyDescent="0.2">
      <c r="A4" s="8">
        <f>EOMONTH(A3,1)</f>
        <v>46081</v>
      </c>
      <c r="B4" s="16">
        <v>667201</v>
      </c>
      <c r="C4" s="1" t="s">
        <v>22</v>
      </c>
      <c r="D4" s="9">
        <v>2567740.1677929386</v>
      </c>
      <c r="E4" s="10">
        <v>2232906.8499127394</v>
      </c>
      <c r="F4" s="11">
        <f t="shared" ref="F4:F50" si="0">E4/D4</f>
        <v>0.86959999999999993</v>
      </c>
      <c r="G4" s="13">
        <v>1148602.3451331949</v>
      </c>
      <c r="H4" s="13">
        <v>980058.73549578805</v>
      </c>
      <c r="I4" s="14">
        <v>884584.05549578799</v>
      </c>
      <c r="J4" s="15">
        <v>32000</v>
      </c>
      <c r="K4" s="15">
        <v>20999.999999999996</v>
      </c>
      <c r="L4" s="15">
        <v>3421.0000000000005</v>
      </c>
      <c r="M4" s="9">
        <v>28460.000000000004</v>
      </c>
      <c r="N4" s="9">
        <v>3559.68</v>
      </c>
      <c r="O4" s="15">
        <v>7033.9999999999991</v>
      </c>
      <c r="P4" s="12">
        <v>168543.60963740683</v>
      </c>
      <c r="Q4" s="15">
        <v>59411.485134507253</v>
      </c>
      <c r="R4" s="15">
        <v>5937.8683075480012</v>
      </c>
      <c r="S4" s="15">
        <v>12893.539999999997</v>
      </c>
      <c r="T4" s="15">
        <v>60904.56</v>
      </c>
      <c r="U4" s="15">
        <v>4546.8532871032903</v>
      </c>
      <c r="V4" s="15">
        <v>24849.302908248268</v>
      </c>
    </row>
    <row r="5" spans="1:22" x14ac:dyDescent="0.2">
      <c r="A5" s="8">
        <f t="shared" ref="A5:A14" si="1">EOMONTH(A4,1)</f>
        <v>46112</v>
      </c>
      <c r="B5" s="16">
        <v>667201</v>
      </c>
      <c r="C5" s="1" t="s">
        <v>22</v>
      </c>
      <c r="D5" s="9">
        <v>2766559.0365914148</v>
      </c>
      <c r="E5" s="10">
        <v>2405799.7382198945</v>
      </c>
      <c r="F5" s="11">
        <f t="shared" si="0"/>
        <v>0.86960000000000004</v>
      </c>
      <c r="G5" s="13">
        <v>1161252.6900501451</v>
      </c>
      <c r="H5" s="13">
        <v>1008787.3540608281</v>
      </c>
      <c r="I5" s="14">
        <v>913312.67406082805</v>
      </c>
      <c r="J5" s="15">
        <v>32000</v>
      </c>
      <c r="K5" s="15">
        <v>20999.999999999996</v>
      </c>
      <c r="L5" s="15">
        <v>3421.0000000000005</v>
      </c>
      <c r="M5" s="9">
        <v>28460.000000000004</v>
      </c>
      <c r="N5" s="9">
        <v>3559.68</v>
      </c>
      <c r="O5" s="15">
        <v>7033.9999999999991</v>
      </c>
      <c r="P5" s="12">
        <v>152465.33598931698</v>
      </c>
      <c r="Q5" s="15">
        <v>59280.245134507255</v>
      </c>
      <c r="R5" s="15">
        <v>5937.8683075480012</v>
      </c>
      <c r="S5" s="15">
        <v>12893.539999999997</v>
      </c>
      <c r="T5" s="15">
        <v>44565.810000000005</v>
      </c>
      <c r="U5" s="15">
        <v>4298.2996390130011</v>
      </c>
      <c r="V5" s="15">
        <v>25489.572908248752</v>
      </c>
    </row>
    <row r="6" spans="1:22" x14ac:dyDescent="0.2">
      <c r="A6" s="8">
        <f t="shared" si="1"/>
        <v>46142</v>
      </c>
      <c r="B6" s="16">
        <v>667201</v>
      </c>
      <c r="C6" s="1" t="s">
        <v>22</v>
      </c>
      <c r="D6" s="9">
        <v>3114044.8317494877</v>
      </c>
      <c r="E6" s="10">
        <v>2707973.3856893545</v>
      </c>
      <c r="F6" s="11">
        <f t="shared" si="0"/>
        <v>0.86960000000000004</v>
      </c>
      <c r="G6" s="13">
        <v>1344465.5149489536</v>
      </c>
      <c r="H6" s="13">
        <v>1198689.7627674446</v>
      </c>
      <c r="I6" s="14">
        <v>1103215.0827674447</v>
      </c>
      <c r="J6" s="15">
        <v>32000</v>
      </c>
      <c r="K6" s="15">
        <v>20999.999999999996</v>
      </c>
      <c r="L6" s="15">
        <v>3421.0000000000005</v>
      </c>
      <c r="M6" s="9">
        <v>28460.000000000004</v>
      </c>
      <c r="N6" s="9">
        <v>3559.68</v>
      </c>
      <c r="O6" s="15">
        <v>7033.9999999999991</v>
      </c>
      <c r="P6" s="12">
        <v>145775.75218150907</v>
      </c>
      <c r="Q6" s="15">
        <v>59159.005134507257</v>
      </c>
      <c r="R6" s="15">
        <v>5937.8683075480012</v>
      </c>
      <c r="S6" s="15">
        <v>12893.539999999997</v>
      </c>
      <c r="T6" s="15">
        <v>36662.959999999999</v>
      </c>
      <c r="U6" s="15">
        <v>8705.9858312052311</v>
      </c>
      <c r="V6" s="15">
        <v>22416.392908248585</v>
      </c>
    </row>
    <row r="7" spans="1:22" x14ac:dyDescent="0.2">
      <c r="A7" s="8">
        <f t="shared" si="1"/>
        <v>46173</v>
      </c>
      <c r="B7" s="16">
        <v>667201</v>
      </c>
      <c r="C7" s="1" t="s">
        <v>22</v>
      </c>
      <c r="D7" s="9">
        <v>2888362.5534962472</v>
      </c>
      <c r="E7" s="10">
        <v>2511720.0765203368</v>
      </c>
      <c r="F7" s="11">
        <f t="shared" si="0"/>
        <v>0.86960000000000004</v>
      </c>
      <c r="G7" s="13">
        <v>1220482.69401854</v>
      </c>
      <c r="H7" s="13">
        <v>1074797.5945179439</v>
      </c>
      <c r="I7" s="14">
        <v>979322.91451794386</v>
      </c>
      <c r="J7" s="15">
        <v>32000</v>
      </c>
      <c r="K7" s="15">
        <v>20999.999999999996</v>
      </c>
      <c r="L7" s="15">
        <v>3421.0000000000005</v>
      </c>
      <c r="M7" s="9">
        <v>28460.000000000004</v>
      </c>
      <c r="N7" s="9">
        <v>3559.68</v>
      </c>
      <c r="O7" s="15">
        <v>7033.9999999999991</v>
      </c>
      <c r="P7" s="12">
        <v>145685.099500596</v>
      </c>
      <c r="Q7" s="15">
        <v>59062.915134507261</v>
      </c>
      <c r="R7" s="15">
        <v>5937.8683075480012</v>
      </c>
      <c r="S7" s="15">
        <v>12357.359999999997</v>
      </c>
      <c r="T7" s="15">
        <v>40901.449999999997</v>
      </c>
      <c r="U7" s="15">
        <v>4005.5131502927502</v>
      </c>
      <c r="V7" s="15">
        <v>23419.992908247979</v>
      </c>
    </row>
    <row r="8" spans="1:22" x14ac:dyDescent="0.2">
      <c r="A8" s="8">
        <f t="shared" si="1"/>
        <v>46203</v>
      </c>
      <c r="B8" s="16">
        <v>667201</v>
      </c>
      <c r="C8" s="1" t="s">
        <v>22</v>
      </c>
      <c r="D8" s="9">
        <v>2813948.5094008753</v>
      </c>
      <c r="E8" s="10">
        <v>2447009.6237750011</v>
      </c>
      <c r="F8" s="11">
        <f t="shared" si="0"/>
        <v>0.86960000000000004</v>
      </c>
      <c r="G8" s="13">
        <v>1222432.6549969469</v>
      </c>
      <c r="H8" s="13">
        <v>1080603.2987243838</v>
      </c>
      <c r="I8" s="14">
        <v>985128.61872438388</v>
      </c>
      <c r="J8" s="15">
        <v>32000</v>
      </c>
      <c r="K8" s="15">
        <v>20999.999999999996</v>
      </c>
      <c r="L8" s="15">
        <v>3421.0000000000005</v>
      </c>
      <c r="M8" s="9">
        <v>28460.000000000004</v>
      </c>
      <c r="N8" s="9">
        <v>3559.68</v>
      </c>
      <c r="O8" s="15">
        <v>7033.9999999999991</v>
      </c>
      <c r="P8" s="12">
        <v>141829.35627256313</v>
      </c>
      <c r="Q8" s="15">
        <v>59245.665134507261</v>
      </c>
      <c r="R8" s="15">
        <v>5937.8683075480012</v>
      </c>
      <c r="S8" s="15">
        <v>12357.359999999997</v>
      </c>
      <c r="T8" s="15">
        <v>34284.870000000003</v>
      </c>
      <c r="U8" s="15">
        <v>5389.3699222585192</v>
      </c>
      <c r="V8" s="15">
        <v>24614.222908249358</v>
      </c>
    </row>
    <row r="9" spans="1:22" x14ac:dyDescent="0.2">
      <c r="A9" s="8">
        <f t="shared" si="1"/>
        <v>46234</v>
      </c>
      <c r="B9" s="16">
        <v>667201</v>
      </c>
      <c r="C9" s="1" t="s">
        <v>22</v>
      </c>
      <c r="D9" s="9">
        <v>2966203.9958192236</v>
      </c>
      <c r="E9" s="10">
        <v>2579410.9947643969</v>
      </c>
      <c r="F9" s="11">
        <f t="shared" si="0"/>
        <v>0.86960000000000004</v>
      </c>
      <c r="G9" s="13">
        <v>1229066.9659097111</v>
      </c>
      <c r="H9" s="13">
        <v>1094110.3817720499</v>
      </c>
      <c r="I9" s="14">
        <v>998635.70177205012</v>
      </c>
      <c r="J9" s="15">
        <v>32000</v>
      </c>
      <c r="K9" s="15">
        <v>20999.999999999996</v>
      </c>
      <c r="L9" s="15">
        <v>3421.0000000000005</v>
      </c>
      <c r="M9" s="9">
        <v>28460.000000000004</v>
      </c>
      <c r="N9" s="9">
        <v>3559.68</v>
      </c>
      <c r="O9" s="15">
        <v>7033.9999999999991</v>
      </c>
      <c r="P9" s="12">
        <v>134956.58413766118</v>
      </c>
      <c r="Q9" s="15">
        <v>59106.165134507261</v>
      </c>
      <c r="R9" s="15">
        <v>5937.8683075480012</v>
      </c>
      <c r="S9" s="15">
        <v>12357.359999999997</v>
      </c>
      <c r="T9" s="15">
        <v>31432.190000000002</v>
      </c>
      <c r="U9" s="15">
        <v>4125.3777873573508</v>
      </c>
      <c r="V9" s="15">
        <v>21997.622908248566</v>
      </c>
    </row>
    <row r="10" spans="1:22" x14ac:dyDescent="0.2">
      <c r="A10" s="8">
        <f t="shared" si="1"/>
        <v>46265</v>
      </c>
      <c r="B10" s="16">
        <v>667201</v>
      </c>
      <c r="C10" s="1" t="s">
        <v>22</v>
      </c>
      <c r="D10" s="9">
        <v>2846937.7569372994</v>
      </c>
      <c r="E10" s="10">
        <v>2475697.0734326756</v>
      </c>
      <c r="F10" s="11">
        <f t="shared" si="0"/>
        <v>0.86960000000000004</v>
      </c>
      <c r="G10" s="13">
        <v>1213475.1222118163</v>
      </c>
      <c r="H10" s="13">
        <v>1073820.8096384474</v>
      </c>
      <c r="I10" s="14">
        <v>978346.12963844731</v>
      </c>
      <c r="J10" s="15">
        <v>32000</v>
      </c>
      <c r="K10" s="15">
        <v>20999.999999999996</v>
      </c>
      <c r="L10" s="15">
        <v>3421.0000000000005</v>
      </c>
      <c r="M10" s="9">
        <v>28460.000000000004</v>
      </c>
      <c r="N10" s="9">
        <v>3559.68</v>
      </c>
      <c r="O10" s="15">
        <v>7033.9999999999991</v>
      </c>
      <c r="P10" s="12">
        <v>139654.31257336898</v>
      </c>
      <c r="Q10" s="15">
        <v>59439.005134507257</v>
      </c>
      <c r="R10" s="15">
        <v>5937.8683075480012</v>
      </c>
      <c r="S10" s="15">
        <v>12357.359999999997</v>
      </c>
      <c r="T10" s="15">
        <v>33727.379999999997</v>
      </c>
      <c r="U10" s="15">
        <v>4017.8962230654797</v>
      </c>
      <c r="V10" s="15">
        <v>24174.802908248268</v>
      </c>
    </row>
    <row r="11" spans="1:22" x14ac:dyDescent="0.2">
      <c r="A11" s="8">
        <f t="shared" si="1"/>
        <v>46295</v>
      </c>
      <c r="B11" s="16">
        <v>667201</v>
      </c>
      <c r="C11" s="1" t="s">
        <v>22</v>
      </c>
      <c r="D11" s="9">
        <v>2900153.0690047727</v>
      </c>
      <c r="E11" s="10">
        <v>2521973.1088065505</v>
      </c>
      <c r="F11" s="11">
        <f t="shared" si="0"/>
        <v>0.86960000000000004</v>
      </c>
      <c r="G11" s="13">
        <v>1223398.6292980551</v>
      </c>
      <c r="H11" s="13">
        <v>1080984.4385990112</v>
      </c>
      <c r="I11" s="14">
        <v>985509.75859901111</v>
      </c>
      <c r="J11" s="15">
        <v>32000</v>
      </c>
      <c r="K11" s="15">
        <v>20999.999999999996</v>
      </c>
      <c r="L11" s="15">
        <v>3421.0000000000005</v>
      </c>
      <c r="M11" s="9">
        <v>28460.000000000004</v>
      </c>
      <c r="N11" s="9">
        <v>3559.68</v>
      </c>
      <c r="O11" s="15">
        <v>7033.9999999999991</v>
      </c>
      <c r="P11" s="12">
        <v>142414.19069904386</v>
      </c>
      <c r="Q11" s="15">
        <v>59436.48513450726</v>
      </c>
      <c r="R11" s="15">
        <v>5937.8683075480012</v>
      </c>
      <c r="S11" s="15">
        <v>12155.459999999997</v>
      </c>
      <c r="T11" s="15">
        <v>36703.07</v>
      </c>
      <c r="U11" s="15">
        <v>4247.1043487392799</v>
      </c>
      <c r="V11" s="15">
        <v>23934.202908249339</v>
      </c>
    </row>
    <row r="12" spans="1:22" x14ac:dyDescent="0.2">
      <c r="A12" s="8">
        <f t="shared" si="1"/>
        <v>46326</v>
      </c>
      <c r="B12" s="16">
        <v>667201</v>
      </c>
      <c r="C12" s="1" t="s">
        <v>22</v>
      </c>
      <c r="D12" s="9">
        <v>3082759.7611627821</v>
      </c>
      <c r="E12" s="10">
        <v>2680767.8883071556</v>
      </c>
      <c r="F12" s="11">
        <f t="shared" si="0"/>
        <v>0.86960000000000004</v>
      </c>
      <c r="G12" s="13">
        <v>1270651.1077173084</v>
      </c>
      <c r="H12" s="13">
        <v>1147317.3623212965</v>
      </c>
      <c r="I12" s="14">
        <v>1051842.6823212965</v>
      </c>
      <c r="J12" s="15">
        <v>32000</v>
      </c>
      <c r="K12" s="15">
        <v>20999.999999999996</v>
      </c>
      <c r="L12" s="15">
        <v>3421.0000000000005</v>
      </c>
      <c r="M12" s="9">
        <v>28460.000000000004</v>
      </c>
      <c r="N12" s="9">
        <v>3559.68</v>
      </c>
      <c r="O12" s="15">
        <v>7033.9999999999991</v>
      </c>
      <c r="P12" s="12">
        <v>123333.74539601208</v>
      </c>
      <c r="Q12" s="15">
        <v>59087.095134507254</v>
      </c>
      <c r="R12" s="15">
        <v>5937.8683075480012</v>
      </c>
      <c r="S12" s="15">
        <v>12135.199999999997</v>
      </c>
      <c r="T12" s="15">
        <v>19519.010000000002</v>
      </c>
      <c r="U12" s="15">
        <v>4062.41904570821</v>
      </c>
      <c r="V12" s="15">
        <v>22592.152908248594</v>
      </c>
    </row>
    <row r="13" spans="1:22" x14ac:dyDescent="0.2">
      <c r="A13" s="8">
        <f t="shared" si="1"/>
        <v>46356</v>
      </c>
      <c r="B13" s="16">
        <v>667201</v>
      </c>
      <c r="C13" s="1" t="s">
        <v>22</v>
      </c>
      <c r="D13" s="9">
        <v>2502698.1002247352</v>
      </c>
      <c r="E13" s="10">
        <v>2176346.2679554299</v>
      </c>
      <c r="F13" s="11">
        <f t="shared" si="0"/>
        <v>0.86960000000000004</v>
      </c>
      <c r="G13" s="13">
        <v>1056213.4509189916</v>
      </c>
      <c r="H13" s="13">
        <v>923953.92657849053</v>
      </c>
      <c r="I13" s="14">
        <v>828479.24657849048</v>
      </c>
      <c r="J13" s="15">
        <v>32000</v>
      </c>
      <c r="K13" s="15">
        <v>20999.999999999996</v>
      </c>
      <c r="L13" s="15">
        <v>3421.0000000000005</v>
      </c>
      <c r="M13" s="9">
        <v>28460.000000000004</v>
      </c>
      <c r="N13" s="9">
        <v>3559.68</v>
      </c>
      <c r="O13" s="15">
        <v>7033.9999999999991</v>
      </c>
      <c r="P13" s="12">
        <v>132259.52434050111</v>
      </c>
      <c r="Q13" s="15">
        <v>59152.045134507258</v>
      </c>
      <c r="R13" s="15">
        <v>5937.8683075480012</v>
      </c>
      <c r="S13" s="15">
        <v>10433.789999999997</v>
      </c>
      <c r="T13" s="15">
        <v>29432.999999999993</v>
      </c>
      <c r="U13" s="15">
        <v>4055.2979901957797</v>
      </c>
      <c r="V13" s="15">
        <v>23247.522908250103</v>
      </c>
    </row>
    <row r="14" spans="1:22" x14ac:dyDescent="0.2">
      <c r="A14" s="8">
        <f t="shared" si="1"/>
        <v>46387</v>
      </c>
      <c r="B14" s="16">
        <v>667201</v>
      </c>
      <c r="C14" s="1" t="s">
        <v>22</v>
      </c>
      <c r="D14" s="9">
        <v>2781229.5180363539</v>
      </c>
      <c r="E14" s="10">
        <v>2418557.1888844133</v>
      </c>
      <c r="F14" s="11">
        <f t="shared" si="0"/>
        <v>0.86960000000000004</v>
      </c>
      <c r="G14" s="13">
        <v>1150256.8896425113</v>
      </c>
      <c r="H14" s="13">
        <v>1027243.2122137274</v>
      </c>
      <c r="I14" s="14">
        <v>931768.53221372736</v>
      </c>
      <c r="J14" s="15">
        <v>32000</v>
      </c>
      <c r="K14" s="15">
        <v>20999.999999999996</v>
      </c>
      <c r="L14" s="15">
        <v>3421.0000000000005</v>
      </c>
      <c r="M14" s="9">
        <v>28460.000000000004</v>
      </c>
      <c r="N14" s="9">
        <v>3559.68</v>
      </c>
      <c r="O14" s="15">
        <v>7033.9999999999991</v>
      </c>
      <c r="P14" s="12">
        <v>123013.67742878388</v>
      </c>
      <c r="Q14" s="15">
        <v>59062.915134507261</v>
      </c>
      <c r="R14" s="15">
        <v>5937.8683075480012</v>
      </c>
      <c r="S14" s="15">
        <v>10420.259999999997</v>
      </c>
      <c r="T14" s="15">
        <v>20500.96</v>
      </c>
      <c r="U14" s="15">
        <v>4011.9376838664512</v>
      </c>
      <c r="V14" s="15">
        <v>23079.736302862177</v>
      </c>
    </row>
    <row r="15" spans="1:22" x14ac:dyDescent="0.2">
      <c r="A15" s="8">
        <f>A3</f>
        <v>46053</v>
      </c>
      <c r="B15" s="16">
        <v>667101</v>
      </c>
      <c r="C15" s="1" t="s">
        <v>23</v>
      </c>
      <c r="D15" s="1">
        <v>2783695.7854674594</v>
      </c>
      <c r="E15" s="1">
        <v>2316313.2630874729</v>
      </c>
      <c r="F15" s="11">
        <f t="shared" si="0"/>
        <v>0.83209999999999995</v>
      </c>
      <c r="G15" s="1">
        <v>1087638.3449037259</v>
      </c>
      <c r="H15" s="1">
        <v>999880.03439056501</v>
      </c>
      <c r="I15" s="1">
        <v>909942.11439056497</v>
      </c>
      <c r="J15" s="1">
        <v>38000</v>
      </c>
      <c r="K15" s="1">
        <v>16300</v>
      </c>
      <c r="L15" s="1">
        <v>3199.0000000000005</v>
      </c>
      <c r="M15" s="1">
        <v>25335.67</v>
      </c>
      <c r="N15" s="1">
        <v>1732.2500000000002</v>
      </c>
      <c r="O15" s="1">
        <v>5371</v>
      </c>
      <c r="P15" s="1">
        <v>87758.310513160919</v>
      </c>
      <c r="Q15" s="1">
        <v>47748.126869424668</v>
      </c>
      <c r="R15" s="1">
        <v>3495.8530269499993</v>
      </c>
      <c r="S15" s="1">
        <v>7989.2699999999995</v>
      </c>
      <c r="T15" s="1">
        <v>4244.54</v>
      </c>
      <c r="U15" s="1">
        <v>5533.5430610369203</v>
      </c>
      <c r="V15" s="1">
        <v>18746.977555749334</v>
      </c>
    </row>
    <row r="16" spans="1:22" x14ac:dyDescent="0.2">
      <c r="A16" s="8">
        <f t="shared" ref="A16:A50" si="2">A4</f>
        <v>46081</v>
      </c>
      <c r="B16" s="16">
        <v>667101</v>
      </c>
      <c r="C16" s="1" t="s">
        <v>23</v>
      </c>
      <c r="D16" s="1">
        <v>2462499.70579794</v>
      </c>
      <c r="E16" s="1">
        <v>2049046.0051944656</v>
      </c>
      <c r="F16" s="11">
        <f t="shared" si="0"/>
        <v>0.83209999999999984</v>
      </c>
      <c r="G16" s="1">
        <v>1042818.8909548596</v>
      </c>
      <c r="H16" s="1">
        <v>938266.73602823564</v>
      </c>
      <c r="I16" s="1">
        <v>848328.8160282356</v>
      </c>
      <c r="J16" s="1">
        <v>38000</v>
      </c>
      <c r="K16" s="1">
        <v>16300</v>
      </c>
      <c r="L16" s="1">
        <v>3199.0000000000005</v>
      </c>
      <c r="M16" s="1">
        <v>25335.67</v>
      </c>
      <c r="N16" s="1">
        <v>1732.2500000000002</v>
      </c>
      <c r="O16" s="1">
        <v>5371</v>
      </c>
      <c r="P16" s="1">
        <v>104552.15492662397</v>
      </c>
      <c r="Q16" s="1">
        <v>47686.536869424672</v>
      </c>
      <c r="R16" s="1">
        <v>3495.8530269499993</v>
      </c>
      <c r="S16" s="1">
        <v>7989.2699999999995</v>
      </c>
      <c r="T16" s="1">
        <v>23293.79</v>
      </c>
      <c r="U16" s="1">
        <v>4456.5756592350299</v>
      </c>
      <c r="V16" s="1">
        <v>17630.129371014285</v>
      </c>
    </row>
    <row r="17" spans="1:22" x14ac:dyDescent="0.2">
      <c r="A17" s="8">
        <f t="shared" si="2"/>
        <v>46112</v>
      </c>
      <c r="B17" s="16">
        <v>667101</v>
      </c>
      <c r="C17" s="1" t="s">
        <v>23</v>
      </c>
      <c r="D17" s="1">
        <v>2799392.4605892464</v>
      </c>
      <c r="E17" s="1">
        <v>2329374.4664563118</v>
      </c>
      <c r="F17" s="11">
        <f t="shared" si="0"/>
        <v>0.83209999999999995</v>
      </c>
      <c r="G17" s="1">
        <v>1119239.6402246756</v>
      </c>
      <c r="H17" s="1">
        <v>1014089.7563101826</v>
      </c>
      <c r="I17" s="1">
        <v>924151.83631018258</v>
      </c>
      <c r="J17" s="1">
        <v>38000</v>
      </c>
      <c r="K17" s="1">
        <v>16300</v>
      </c>
      <c r="L17" s="1">
        <v>3199.0000000000005</v>
      </c>
      <c r="M17" s="1">
        <v>25335.67</v>
      </c>
      <c r="N17" s="1">
        <v>1732.2500000000002</v>
      </c>
      <c r="O17" s="1">
        <v>5371</v>
      </c>
      <c r="P17" s="1">
        <v>105149.88391449308</v>
      </c>
      <c r="Q17" s="1">
        <v>47618.826869424665</v>
      </c>
      <c r="R17" s="1">
        <v>3495.8530269499993</v>
      </c>
      <c r="S17" s="1">
        <v>7989.2699999999995</v>
      </c>
      <c r="T17" s="1">
        <v>25183.78</v>
      </c>
      <c r="U17" s="1">
        <v>4343.3346471035102</v>
      </c>
      <c r="V17" s="1">
        <v>16518.819371014928</v>
      </c>
    </row>
    <row r="18" spans="1:22" x14ac:dyDescent="0.2">
      <c r="A18" s="8">
        <f t="shared" si="2"/>
        <v>46142</v>
      </c>
      <c r="B18" s="16">
        <v>667101</v>
      </c>
      <c r="C18" s="1" t="s">
        <v>23</v>
      </c>
      <c r="D18" s="1">
        <v>2652048.262738436</v>
      </c>
      <c r="E18" s="1">
        <v>2206769.3594246525</v>
      </c>
      <c r="F18" s="11">
        <f t="shared" si="0"/>
        <v>0.83209999999999995</v>
      </c>
      <c r="G18" s="1">
        <v>1139994.0261266707</v>
      </c>
      <c r="H18" s="1">
        <v>1029481.1192019596</v>
      </c>
      <c r="I18" s="1">
        <v>939543.19920195953</v>
      </c>
      <c r="J18" s="1">
        <v>38000</v>
      </c>
      <c r="K18" s="1">
        <v>16300</v>
      </c>
      <c r="L18" s="1">
        <v>3199.0000000000005</v>
      </c>
      <c r="M18" s="1">
        <v>25335.67</v>
      </c>
      <c r="N18" s="1">
        <v>1732.2500000000002</v>
      </c>
      <c r="O18" s="1">
        <v>5371</v>
      </c>
      <c r="P18" s="1">
        <v>110512.90692471119</v>
      </c>
      <c r="Q18" s="1">
        <v>47535.576869424665</v>
      </c>
      <c r="R18" s="1">
        <v>3495.8530269499993</v>
      </c>
      <c r="S18" s="1">
        <v>7989.2699999999995</v>
      </c>
      <c r="T18" s="1">
        <v>23646.100000000002</v>
      </c>
      <c r="U18" s="1">
        <v>8065.8276573224985</v>
      </c>
      <c r="V18" s="1">
        <v>19780.279371014032</v>
      </c>
    </row>
    <row r="19" spans="1:22" x14ac:dyDescent="0.2">
      <c r="A19" s="8">
        <f t="shared" si="2"/>
        <v>46173</v>
      </c>
      <c r="B19" s="16">
        <v>667101</v>
      </c>
      <c r="C19" s="1" t="s">
        <v>23</v>
      </c>
      <c r="D19" s="1">
        <v>2634787.5940184747</v>
      </c>
      <c r="E19" s="1">
        <v>2192406.7569827726</v>
      </c>
      <c r="F19" s="11">
        <f t="shared" si="0"/>
        <v>0.83209999999999995</v>
      </c>
      <c r="G19" s="1">
        <v>1089883.3683067339</v>
      </c>
      <c r="H19" s="1">
        <v>983284.17342879286</v>
      </c>
      <c r="I19" s="1">
        <v>893346.25342879281</v>
      </c>
      <c r="J19" s="1">
        <v>38000</v>
      </c>
      <c r="K19" s="1">
        <v>16300</v>
      </c>
      <c r="L19" s="1">
        <v>3199.0000000000005</v>
      </c>
      <c r="M19" s="1">
        <v>25335.67</v>
      </c>
      <c r="N19" s="1">
        <v>1732.2500000000002</v>
      </c>
      <c r="O19" s="1">
        <v>5371</v>
      </c>
      <c r="P19" s="1">
        <v>106599.19487794107</v>
      </c>
      <c r="Q19" s="1">
        <v>47504.466869424672</v>
      </c>
      <c r="R19" s="1">
        <v>3495.8530269499993</v>
      </c>
      <c r="S19" s="1">
        <v>7989.2699999999995</v>
      </c>
      <c r="T19" s="1">
        <v>25563.37</v>
      </c>
      <c r="U19" s="1">
        <v>4117.6156105530899</v>
      </c>
      <c r="V19" s="1">
        <v>17928.619371013316</v>
      </c>
    </row>
    <row r="20" spans="1:22" x14ac:dyDescent="0.2">
      <c r="A20" s="8">
        <f t="shared" si="2"/>
        <v>46203</v>
      </c>
      <c r="B20" s="16">
        <v>667101</v>
      </c>
      <c r="C20" s="1" t="s">
        <v>23</v>
      </c>
      <c r="D20" s="1">
        <v>2732754.9640502566</v>
      </c>
      <c r="E20" s="1">
        <v>2273925.4055862185</v>
      </c>
      <c r="F20" s="11">
        <f t="shared" si="0"/>
        <v>0.83209999999999995</v>
      </c>
      <c r="G20" s="1">
        <v>1165500.1087618652</v>
      </c>
      <c r="H20" s="1">
        <v>1046641.6812995333</v>
      </c>
      <c r="I20" s="1">
        <v>956703.7612995333</v>
      </c>
      <c r="J20" s="1">
        <v>38000</v>
      </c>
      <c r="K20" s="1">
        <v>16300</v>
      </c>
      <c r="L20" s="1">
        <v>3199.0000000000005</v>
      </c>
      <c r="M20" s="1">
        <v>25335.67</v>
      </c>
      <c r="N20" s="1">
        <v>1732.2500000000002</v>
      </c>
      <c r="O20" s="1">
        <v>5371</v>
      </c>
      <c r="P20" s="1">
        <v>118858.42746233183</v>
      </c>
      <c r="Q20" s="1">
        <v>47590.816869424671</v>
      </c>
      <c r="R20" s="1">
        <v>3495.8530269499993</v>
      </c>
      <c r="S20" s="1">
        <v>7989.2699999999995</v>
      </c>
      <c r="T20" s="1">
        <v>38817.050000000003</v>
      </c>
      <c r="U20" s="1">
        <v>5166.9481949427091</v>
      </c>
      <c r="V20" s="1">
        <v>15798.489371014461</v>
      </c>
    </row>
    <row r="21" spans="1:22" x14ac:dyDescent="0.2">
      <c r="A21" s="8">
        <f t="shared" si="2"/>
        <v>46234</v>
      </c>
      <c r="B21" s="16">
        <v>667101</v>
      </c>
      <c r="C21" s="1" t="s">
        <v>23</v>
      </c>
      <c r="D21" s="1">
        <v>2786202.3768192669</v>
      </c>
      <c r="E21" s="1">
        <v>2318398.9977513119</v>
      </c>
      <c r="F21" s="11">
        <f t="shared" si="0"/>
        <v>0.83209999999999995</v>
      </c>
      <c r="G21" s="1">
        <v>1127461.662531202</v>
      </c>
      <c r="H21" s="1">
        <v>1027972.245951814</v>
      </c>
      <c r="I21" s="1">
        <v>938034.32595181395</v>
      </c>
      <c r="J21" s="1">
        <v>38000</v>
      </c>
      <c r="K21" s="1">
        <v>16300</v>
      </c>
      <c r="L21" s="1">
        <v>3199.0000000000005</v>
      </c>
      <c r="M21" s="1">
        <v>25335.67</v>
      </c>
      <c r="N21" s="1">
        <v>1732.2500000000002</v>
      </c>
      <c r="O21" s="1">
        <v>5371</v>
      </c>
      <c r="P21" s="1">
        <v>99489.416579388067</v>
      </c>
      <c r="Q21" s="1">
        <v>47530.02686942467</v>
      </c>
      <c r="R21" s="1">
        <v>3495.8530269499993</v>
      </c>
      <c r="S21" s="1">
        <v>5737.7099999999991</v>
      </c>
      <c r="T21" s="1">
        <v>22402.799999999999</v>
      </c>
      <c r="U21" s="1">
        <v>4244.2873119989899</v>
      </c>
      <c r="V21" s="1">
        <v>16078.739371014413</v>
      </c>
    </row>
    <row r="22" spans="1:22" x14ac:dyDescent="0.2">
      <c r="A22" s="8">
        <f t="shared" si="2"/>
        <v>46265</v>
      </c>
      <c r="B22" s="16">
        <v>667101</v>
      </c>
      <c r="C22" s="1" t="s">
        <v>23</v>
      </c>
      <c r="D22" s="1">
        <v>2705123.3803841858</v>
      </c>
      <c r="E22" s="1">
        <v>2250933.1648176811</v>
      </c>
      <c r="F22" s="11">
        <f t="shared" si="0"/>
        <v>0.83210000000000006</v>
      </c>
      <c r="G22" s="1">
        <v>1117688.8632399773</v>
      </c>
      <c r="H22" s="1">
        <v>1019549.7399087234</v>
      </c>
      <c r="I22" s="1">
        <v>929611.81990872335</v>
      </c>
      <c r="J22" s="1">
        <v>38000</v>
      </c>
      <c r="K22" s="1">
        <v>16300</v>
      </c>
      <c r="L22" s="1">
        <v>3199.0000000000005</v>
      </c>
      <c r="M22" s="1">
        <v>25335.67</v>
      </c>
      <c r="N22" s="1">
        <v>1732.2500000000002</v>
      </c>
      <c r="O22" s="1">
        <v>5371</v>
      </c>
      <c r="P22" s="1">
        <v>98139.12333125397</v>
      </c>
      <c r="Q22" s="1">
        <v>47718.176869424671</v>
      </c>
      <c r="R22" s="1">
        <v>3495.8530269499993</v>
      </c>
      <c r="S22" s="1">
        <v>5737.7099999999991</v>
      </c>
      <c r="T22" s="1">
        <v>23023.73</v>
      </c>
      <c r="U22" s="1">
        <v>4165.3640638657798</v>
      </c>
      <c r="V22" s="1">
        <v>13998.289371013529</v>
      </c>
    </row>
    <row r="23" spans="1:22" x14ac:dyDescent="0.2">
      <c r="A23" s="8">
        <f t="shared" si="2"/>
        <v>46295</v>
      </c>
      <c r="B23" s="16">
        <v>667101</v>
      </c>
      <c r="C23" s="1" t="s">
        <v>23</v>
      </c>
      <c r="D23" s="1">
        <v>2686301.0642605056</v>
      </c>
      <c r="E23" s="1">
        <v>2235271.1155711664</v>
      </c>
      <c r="F23" s="11">
        <f t="shared" si="0"/>
        <v>0.83209999999999984</v>
      </c>
      <c r="G23" s="1">
        <v>1106584.4476802484</v>
      </c>
      <c r="H23" s="1">
        <v>1002777.9840839695</v>
      </c>
      <c r="I23" s="1">
        <v>912840.06408396945</v>
      </c>
      <c r="J23" s="1">
        <v>38000</v>
      </c>
      <c r="K23" s="1">
        <v>16300</v>
      </c>
      <c r="L23" s="1">
        <v>3199.0000000000005</v>
      </c>
      <c r="M23" s="1">
        <v>25335.67</v>
      </c>
      <c r="N23" s="1">
        <v>1732.2500000000002</v>
      </c>
      <c r="O23" s="1">
        <v>5371</v>
      </c>
      <c r="P23" s="1">
        <v>103806.46359627899</v>
      </c>
      <c r="Q23" s="1">
        <v>47561.70686942467</v>
      </c>
      <c r="R23" s="1">
        <v>3495.8530269499993</v>
      </c>
      <c r="S23" s="1">
        <v>5737.7099999999991</v>
      </c>
      <c r="T23" s="1">
        <v>25294.800000000003</v>
      </c>
      <c r="U23" s="1">
        <v>4303.8443288894196</v>
      </c>
      <c r="V23" s="1">
        <v>17412.549371014898</v>
      </c>
    </row>
    <row r="24" spans="1:22" x14ac:dyDescent="0.2">
      <c r="A24" s="8">
        <f t="shared" si="2"/>
        <v>46326</v>
      </c>
      <c r="B24" s="16">
        <v>667101</v>
      </c>
      <c r="C24" s="1" t="s">
        <v>23</v>
      </c>
      <c r="D24" s="1">
        <v>2858075.0249873009</v>
      </c>
      <c r="E24" s="1">
        <v>2378204.228291933</v>
      </c>
      <c r="F24" s="11">
        <f t="shared" si="0"/>
        <v>0.83209999999999995</v>
      </c>
      <c r="G24" s="1">
        <v>1157262.7395390803</v>
      </c>
      <c r="H24" s="1">
        <v>1065117.8021404841</v>
      </c>
      <c r="I24" s="1">
        <v>975179.88214048417</v>
      </c>
      <c r="J24" s="1">
        <v>38000</v>
      </c>
      <c r="K24" s="1">
        <v>16300</v>
      </c>
      <c r="L24" s="1">
        <v>3199.0000000000005</v>
      </c>
      <c r="M24" s="1">
        <v>25335.67</v>
      </c>
      <c r="N24" s="1">
        <v>1732.2500000000002</v>
      </c>
      <c r="O24" s="1">
        <v>5371</v>
      </c>
      <c r="P24" s="1">
        <v>92144.937398596172</v>
      </c>
      <c r="Q24" s="1">
        <v>47493.366869424666</v>
      </c>
      <c r="R24" s="1">
        <v>3495.8530269499993</v>
      </c>
      <c r="S24" s="1">
        <v>5737.7099999999991</v>
      </c>
      <c r="T24" s="1">
        <v>15245.27</v>
      </c>
      <c r="U24" s="1">
        <v>4140.2181312061512</v>
      </c>
      <c r="V24" s="1">
        <v>16032.519371015373</v>
      </c>
    </row>
    <row r="25" spans="1:22" x14ac:dyDescent="0.2">
      <c r="A25" s="8">
        <f t="shared" si="2"/>
        <v>46356</v>
      </c>
      <c r="B25" s="16">
        <v>667101</v>
      </c>
      <c r="C25" s="1" t="s">
        <v>23</v>
      </c>
      <c r="D25" s="1">
        <v>2612452.6655782801</v>
      </c>
      <c r="E25" s="1">
        <v>2173821.8630276867</v>
      </c>
      <c r="F25" s="11">
        <f t="shared" si="0"/>
        <v>0.83209999999999995</v>
      </c>
      <c r="G25" s="1">
        <v>1042592.222581184</v>
      </c>
      <c r="H25" s="1">
        <v>954749.70688948105</v>
      </c>
      <c r="I25" s="1">
        <v>864811.78688948101</v>
      </c>
      <c r="J25" s="1">
        <v>38000</v>
      </c>
      <c r="K25" s="1">
        <v>16300</v>
      </c>
      <c r="L25" s="1">
        <v>3199.0000000000005</v>
      </c>
      <c r="M25" s="1">
        <v>25335.67</v>
      </c>
      <c r="N25" s="1">
        <v>1732.2500000000002</v>
      </c>
      <c r="O25" s="1">
        <v>5371</v>
      </c>
      <c r="P25" s="1">
        <v>87842.515691702924</v>
      </c>
      <c r="Q25" s="1">
        <v>47558.746869424671</v>
      </c>
      <c r="R25" s="1">
        <v>3495.8530269499993</v>
      </c>
      <c r="S25" s="1">
        <v>5737.7099999999991</v>
      </c>
      <c r="T25" s="1">
        <v>12686.89</v>
      </c>
      <c r="U25" s="1">
        <v>4177.7664243136805</v>
      </c>
      <c r="V25" s="1">
        <v>14185.549371014586</v>
      </c>
    </row>
    <row r="26" spans="1:22" x14ac:dyDescent="0.2">
      <c r="A26" s="8">
        <f t="shared" si="2"/>
        <v>46387</v>
      </c>
      <c r="B26" s="16">
        <v>667101</v>
      </c>
      <c r="C26" s="1" t="s">
        <v>23</v>
      </c>
      <c r="D26" s="1">
        <v>2073752.0023276154</v>
      </c>
      <c r="E26" s="1">
        <v>1725569.0411368087</v>
      </c>
      <c r="F26" s="11">
        <f t="shared" si="0"/>
        <v>0.83209999999999995</v>
      </c>
      <c r="G26" s="1">
        <v>866439.38863569056</v>
      </c>
      <c r="H26" s="1">
        <v>784687.07567138167</v>
      </c>
      <c r="I26" s="1">
        <v>694749.15567138162</v>
      </c>
      <c r="J26" s="1">
        <v>38000</v>
      </c>
      <c r="K26" s="1">
        <v>16300</v>
      </c>
      <c r="L26" s="1">
        <v>3199.0000000000005</v>
      </c>
      <c r="M26" s="1">
        <v>25335.67</v>
      </c>
      <c r="N26" s="1">
        <v>1732.2500000000002</v>
      </c>
      <c r="O26" s="1">
        <v>5371</v>
      </c>
      <c r="P26" s="1">
        <v>81752.312964308861</v>
      </c>
      <c r="Q26" s="1">
        <v>47481.216869424665</v>
      </c>
      <c r="R26" s="1">
        <v>3495.8530269499993</v>
      </c>
      <c r="S26" s="1">
        <v>5737.7099999999991</v>
      </c>
      <c r="T26" s="1">
        <v>6937.9699999999993</v>
      </c>
      <c r="U26" s="1">
        <v>4109.0663602608211</v>
      </c>
      <c r="V26" s="1">
        <v>13990.49670767337</v>
      </c>
    </row>
    <row r="27" spans="1:22" x14ac:dyDescent="0.2">
      <c r="A27" s="8">
        <f t="shared" si="2"/>
        <v>46053</v>
      </c>
      <c r="B27" s="16">
        <v>667301</v>
      </c>
      <c r="C27" s="1" t="s">
        <v>24</v>
      </c>
      <c r="D27" s="1">
        <v>2455565.233582329</v>
      </c>
      <c r="E27" s="1">
        <v>2172684.118673645</v>
      </c>
      <c r="F27" s="11">
        <f t="shared" si="0"/>
        <v>0.88480000000000014</v>
      </c>
      <c r="G27" s="1">
        <v>940740.48236490949</v>
      </c>
      <c r="H27" s="1">
        <v>846314.47948588268</v>
      </c>
      <c r="I27" s="1">
        <v>802681.8994858826</v>
      </c>
      <c r="J27" s="1">
        <v>7000</v>
      </c>
      <c r="K27" s="1">
        <v>8081.0000000000009</v>
      </c>
      <c r="L27" s="1">
        <v>3636</v>
      </c>
      <c r="M27" s="1">
        <v>16136.670000000002</v>
      </c>
      <c r="N27" s="1">
        <v>2434.66</v>
      </c>
      <c r="O27" s="1">
        <v>6344.25</v>
      </c>
      <c r="P27" s="1">
        <v>94426.00287902687</v>
      </c>
      <c r="Q27" s="1">
        <v>47481.543567268134</v>
      </c>
      <c r="R27" s="1">
        <v>5279.5979991220001</v>
      </c>
      <c r="S27" s="1">
        <v>9314.41</v>
      </c>
      <c r="T27" s="1">
        <v>5563.63</v>
      </c>
      <c r="U27" s="1">
        <v>9261.15168703163</v>
      </c>
      <c r="V27" s="1">
        <v>17525.669625605107</v>
      </c>
    </row>
    <row r="28" spans="1:22" x14ac:dyDescent="0.2">
      <c r="A28" s="8">
        <f t="shared" si="2"/>
        <v>46081</v>
      </c>
      <c r="B28" s="16">
        <v>667301</v>
      </c>
      <c r="C28" s="1" t="s">
        <v>24</v>
      </c>
      <c r="D28" s="1">
        <v>2452980.1254619434</v>
      </c>
      <c r="E28" s="1">
        <v>2170396.8150087278</v>
      </c>
      <c r="F28" s="11">
        <f t="shared" si="0"/>
        <v>0.88480000000000014</v>
      </c>
      <c r="G28" s="1">
        <v>979143.16502978327</v>
      </c>
      <c r="H28" s="1">
        <v>888681.90961997036</v>
      </c>
      <c r="I28" s="1">
        <v>845049.32961997029</v>
      </c>
      <c r="J28" s="1">
        <v>7000</v>
      </c>
      <c r="K28" s="1">
        <v>8081.0000000000009</v>
      </c>
      <c r="L28" s="1">
        <v>3636</v>
      </c>
      <c r="M28" s="1">
        <v>16136.670000000002</v>
      </c>
      <c r="N28" s="1">
        <v>2434.66</v>
      </c>
      <c r="O28" s="1">
        <v>6344.25</v>
      </c>
      <c r="P28" s="1">
        <v>90461.255409812904</v>
      </c>
      <c r="Q28" s="1">
        <v>47430.803567268136</v>
      </c>
      <c r="R28" s="1">
        <v>5279.5979991220001</v>
      </c>
      <c r="S28" s="1">
        <v>9148.57</v>
      </c>
      <c r="T28" s="1">
        <v>8752.5299999999988</v>
      </c>
      <c r="U28" s="1">
        <v>4946.7119208142612</v>
      </c>
      <c r="V28" s="1">
        <v>14903.041922608507</v>
      </c>
    </row>
    <row r="29" spans="1:22" x14ac:dyDescent="0.2">
      <c r="A29" s="8">
        <f t="shared" si="2"/>
        <v>46112</v>
      </c>
      <c r="B29" s="16">
        <v>667301</v>
      </c>
      <c r="C29" s="1" t="s">
        <v>24</v>
      </c>
      <c r="D29" s="1">
        <v>3001201.7050839188</v>
      </c>
      <c r="E29" s="1">
        <v>2655463.2686582515</v>
      </c>
      <c r="F29" s="11">
        <f t="shared" si="0"/>
        <v>0.88480000000000003</v>
      </c>
      <c r="G29" s="1">
        <v>1127927.7605323612</v>
      </c>
      <c r="H29" s="1">
        <v>1034406.8661844904</v>
      </c>
      <c r="I29" s="1">
        <v>990774.28618449031</v>
      </c>
      <c r="J29" s="1">
        <v>7000</v>
      </c>
      <c r="K29" s="1">
        <v>8081.0000000000009</v>
      </c>
      <c r="L29" s="1">
        <v>3636</v>
      </c>
      <c r="M29" s="1">
        <v>16136.670000000002</v>
      </c>
      <c r="N29" s="1">
        <v>2434.66</v>
      </c>
      <c r="O29" s="1">
        <v>6344.25</v>
      </c>
      <c r="P29" s="1">
        <v>93520.894347870795</v>
      </c>
      <c r="Q29" s="1">
        <v>47573.52356726813</v>
      </c>
      <c r="R29" s="1">
        <v>5279.5979991220001</v>
      </c>
      <c r="S29" s="1">
        <v>8982.5300000000007</v>
      </c>
      <c r="T29" s="1">
        <v>12115.92</v>
      </c>
      <c r="U29" s="1">
        <v>4189.5208588724909</v>
      </c>
      <c r="V29" s="1">
        <v>15379.801922608167</v>
      </c>
    </row>
    <row r="30" spans="1:22" x14ac:dyDescent="0.2">
      <c r="A30" s="8">
        <f t="shared" si="2"/>
        <v>46142</v>
      </c>
      <c r="B30" s="16">
        <v>667301</v>
      </c>
      <c r="C30" s="1" t="s">
        <v>24</v>
      </c>
      <c r="D30" s="1">
        <v>2460746.6752358065</v>
      </c>
      <c r="E30" s="1">
        <v>2177268.6582486415</v>
      </c>
      <c r="F30" s="11">
        <f t="shared" si="0"/>
        <v>0.88479999999999992</v>
      </c>
      <c r="G30" s="1">
        <v>1009857.8215214309</v>
      </c>
      <c r="H30" s="1">
        <v>915403.21711855195</v>
      </c>
      <c r="I30" s="1">
        <v>871770.63711855188</v>
      </c>
      <c r="J30" s="1">
        <v>7000</v>
      </c>
      <c r="K30" s="1">
        <v>8081.0000000000009</v>
      </c>
      <c r="L30" s="1">
        <v>3636</v>
      </c>
      <c r="M30" s="1">
        <v>16136.670000000002</v>
      </c>
      <c r="N30" s="1">
        <v>2434.66</v>
      </c>
      <c r="O30" s="1">
        <v>6344.25</v>
      </c>
      <c r="P30" s="1">
        <v>94454.604402878889</v>
      </c>
      <c r="Q30" s="1">
        <v>47342.303567268136</v>
      </c>
      <c r="R30" s="1">
        <v>5279.5979991220001</v>
      </c>
      <c r="S30" s="1">
        <v>8903.5600000000013</v>
      </c>
      <c r="T30" s="1">
        <v>11267.720000000001</v>
      </c>
      <c r="U30" s="1">
        <v>8001.0709138808897</v>
      </c>
      <c r="V30" s="1">
        <v>13660.351922607864</v>
      </c>
    </row>
    <row r="31" spans="1:22" x14ac:dyDescent="0.2">
      <c r="A31" s="8">
        <f t="shared" si="2"/>
        <v>46173</v>
      </c>
      <c r="B31" s="16">
        <v>667301</v>
      </c>
      <c r="C31" s="1" t="s">
        <v>24</v>
      </c>
      <c r="D31" s="1">
        <v>2507086.1873504468</v>
      </c>
      <c r="E31" s="1">
        <v>2218269.8585676756</v>
      </c>
      <c r="F31" s="11">
        <f t="shared" si="0"/>
        <v>0.88480000000000014</v>
      </c>
      <c r="G31" s="1">
        <v>987517.3349717136</v>
      </c>
      <c r="H31" s="1">
        <v>893680.62849437667</v>
      </c>
      <c r="I31" s="1">
        <v>850048.04849437659</v>
      </c>
      <c r="J31" s="1">
        <v>7000</v>
      </c>
      <c r="K31" s="1">
        <v>8081.0000000000009</v>
      </c>
      <c r="L31" s="1">
        <v>3636</v>
      </c>
      <c r="M31" s="1">
        <v>16136.670000000002</v>
      </c>
      <c r="N31" s="1">
        <v>2434.66</v>
      </c>
      <c r="O31" s="1">
        <v>6344.25</v>
      </c>
      <c r="P31" s="1">
        <v>93836.706477336949</v>
      </c>
      <c r="Q31" s="1">
        <v>47000.803567268136</v>
      </c>
      <c r="R31" s="1">
        <v>5279.5979991220001</v>
      </c>
      <c r="S31" s="1">
        <v>8879.1299999999992</v>
      </c>
      <c r="T31" s="1">
        <v>13916.289999999999</v>
      </c>
      <c r="U31" s="1">
        <v>3941.6029883393694</v>
      </c>
      <c r="V31" s="1">
        <v>14819.28192260745</v>
      </c>
    </row>
    <row r="32" spans="1:22" x14ac:dyDescent="0.2">
      <c r="A32" s="8">
        <f t="shared" si="2"/>
        <v>46203</v>
      </c>
      <c r="B32" s="16">
        <v>667301</v>
      </c>
      <c r="C32" s="1" t="s">
        <v>24</v>
      </c>
      <c r="D32" s="1">
        <v>2875357.3292512111</v>
      </c>
      <c r="E32" s="1">
        <v>2544116.1649214718</v>
      </c>
      <c r="F32" s="11">
        <f t="shared" si="0"/>
        <v>0.88480000000000003</v>
      </c>
      <c r="G32" s="1">
        <v>1146647.1096618674</v>
      </c>
      <c r="H32" s="1">
        <v>1050259.6681080814</v>
      </c>
      <c r="I32" s="1">
        <v>1006627.0881080814</v>
      </c>
      <c r="J32" s="1">
        <v>7000</v>
      </c>
      <c r="K32" s="1">
        <v>8081.0000000000009</v>
      </c>
      <c r="L32" s="1">
        <v>3636</v>
      </c>
      <c r="M32" s="1">
        <v>16136.670000000002</v>
      </c>
      <c r="N32" s="1">
        <v>2434.66</v>
      </c>
      <c r="O32" s="1">
        <v>6344.25</v>
      </c>
      <c r="P32" s="1">
        <v>96387.441553786019</v>
      </c>
      <c r="Q32" s="1">
        <v>47578.403567268135</v>
      </c>
      <c r="R32" s="1">
        <v>5279.5979991220001</v>
      </c>
      <c r="S32" s="1">
        <v>8235.07</v>
      </c>
      <c r="T32" s="1">
        <v>13589.679999999998</v>
      </c>
      <c r="U32" s="1">
        <v>5199.3880647891201</v>
      </c>
      <c r="V32" s="1">
        <v>16505.30192260677</v>
      </c>
    </row>
    <row r="33" spans="1:22" x14ac:dyDescent="0.2">
      <c r="A33" s="8">
        <f t="shared" si="2"/>
        <v>46234</v>
      </c>
      <c r="B33" s="16">
        <v>667301</v>
      </c>
      <c r="C33" s="1" t="s">
        <v>24</v>
      </c>
      <c r="D33" s="1">
        <v>2404879.3626072677</v>
      </c>
      <c r="E33" s="1">
        <v>2127837.2600349104</v>
      </c>
      <c r="F33" s="11">
        <f t="shared" si="0"/>
        <v>0.88480000000000003</v>
      </c>
      <c r="G33" s="1">
        <v>943793.32769216876</v>
      </c>
      <c r="H33" s="1">
        <v>853286.39792331588</v>
      </c>
      <c r="I33" s="1">
        <v>809653.8179233158</v>
      </c>
      <c r="J33" s="1">
        <v>7000</v>
      </c>
      <c r="K33" s="1">
        <v>8081.0000000000009</v>
      </c>
      <c r="L33" s="1">
        <v>3636</v>
      </c>
      <c r="M33" s="1">
        <v>16136.670000000002</v>
      </c>
      <c r="N33" s="1">
        <v>2434.66</v>
      </c>
      <c r="O33" s="1">
        <v>6344.25</v>
      </c>
      <c r="P33" s="1">
        <v>90506.929768852875</v>
      </c>
      <c r="Q33" s="1">
        <v>47048.493567268131</v>
      </c>
      <c r="R33" s="1">
        <v>5279.5979991220001</v>
      </c>
      <c r="S33" s="1">
        <v>8227.18</v>
      </c>
      <c r="T33" s="1">
        <v>9467.6</v>
      </c>
      <c r="U33" s="1">
        <v>4059.4062798551695</v>
      </c>
      <c r="V33" s="1">
        <v>16424.651922607562</v>
      </c>
    </row>
    <row r="34" spans="1:22" x14ac:dyDescent="0.2">
      <c r="A34" s="8">
        <f t="shared" si="2"/>
        <v>46265</v>
      </c>
      <c r="B34" s="16">
        <v>667301</v>
      </c>
      <c r="C34" s="1" t="s">
        <v>24</v>
      </c>
      <c r="D34" s="1">
        <v>2927584.2651992263</v>
      </c>
      <c r="E34" s="1">
        <v>2590326.5578482756</v>
      </c>
      <c r="F34" s="11">
        <f t="shared" si="0"/>
        <v>0.88480000000000003</v>
      </c>
      <c r="G34" s="1">
        <v>1138216.5948364986</v>
      </c>
      <c r="H34" s="1">
        <v>1049692.7680279049</v>
      </c>
      <c r="I34" s="1">
        <v>1006060.1880279047</v>
      </c>
      <c r="J34" s="1">
        <v>7000</v>
      </c>
      <c r="K34" s="1">
        <v>8081.0000000000009</v>
      </c>
      <c r="L34" s="1">
        <v>3636</v>
      </c>
      <c r="M34" s="1">
        <v>16136.670000000002</v>
      </c>
      <c r="N34" s="1">
        <v>2434.66</v>
      </c>
      <c r="O34" s="1">
        <v>6344.25</v>
      </c>
      <c r="P34" s="1">
        <v>88523.826808593614</v>
      </c>
      <c r="Q34" s="1">
        <v>47587.743567268131</v>
      </c>
      <c r="R34" s="1">
        <v>5279.5979991220001</v>
      </c>
      <c r="S34" s="1">
        <v>8197.06</v>
      </c>
      <c r="T34" s="1">
        <v>9822.25</v>
      </c>
      <c r="U34" s="1">
        <v>3965.5733195959801</v>
      </c>
      <c r="V34" s="1">
        <v>13671.601922607515</v>
      </c>
    </row>
    <row r="35" spans="1:22" x14ac:dyDescent="0.2">
      <c r="A35" s="8">
        <f t="shared" si="2"/>
        <v>46295</v>
      </c>
      <c r="B35" s="16">
        <v>667301</v>
      </c>
      <c r="C35" s="1" t="s">
        <v>24</v>
      </c>
      <c r="D35" s="1">
        <v>2479922.0822380227</v>
      </c>
      <c r="E35" s="1">
        <v>2194235.0583642027</v>
      </c>
      <c r="F35" s="11">
        <f t="shared" si="0"/>
        <v>0.88480000000000014</v>
      </c>
      <c r="G35" s="1">
        <v>978241.99736108328</v>
      </c>
      <c r="H35" s="1">
        <v>886342.3799518483</v>
      </c>
      <c r="I35" s="1">
        <v>842709.79995184822</v>
      </c>
      <c r="J35" s="1">
        <v>7000</v>
      </c>
      <c r="K35" s="1">
        <v>8081.0000000000009</v>
      </c>
      <c r="L35" s="1">
        <v>3636</v>
      </c>
      <c r="M35" s="1">
        <v>16136.670000000002</v>
      </c>
      <c r="N35" s="1">
        <v>2434.66</v>
      </c>
      <c r="O35" s="1">
        <v>6344.25</v>
      </c>
      <c r="P35" s="1">
        <v>91899.617409235027</v>
      </c>
      <c r="Q35" s="1">
        <v>47094.903567268135</v>
      </c>
      <c r="R35" s="1">
        <v>5279.5979991220001</v>
      </c>
      <c r="S35" s="1">
        <v>8182.4699999999993</v>
      </c>
      <c r="T35" s="1">
        <v>12601.44</v>
      </c>
      <c r="U35" s="1">
        <v>4131.5639202381599</v>
      </c>
      <c r="V35" s="1">
        <v>14609.641922606737</v>
      </c>
    </row>
    <row r="36" spans="1:22" x14ac:dyDescent="0.2">
      <c r="A36" s="8">
        <f t="shared" si="2"/>
        <v>46326</v>
      </c>
      <c r="B36" s="16">
        <v>667301</v>
      </c>
      <c r="C36" s="1" t="s">
        <v>24</v>
      </c>
      <c r="D36" s="1">
        <v>2449779.88011871</v>
      </c>
      <c r="E36" s="1">
        <v>2167565.2379290345</v>
      </c>
      <c r="F36" s="11">
        <f t="shared" si="0"/>
        <v>0.88479999999999992</v>
      </c>
      <c r="G36" s="1">
        <v>967518.91733235354</v>
      </c>
      <c r="H36" s="1">
        <v>879501.48962559958</v>
      </c>
      <c r="I36" s="1">
        <v>835868.90962559951</v>
      </c>
      <c r="J36" s="1">
        <v>7000</v>
      </c>
      <c r="K36" s="1">
        <v>8081.0000000000009</v>
      </c>
      <c r="L36" s="1">
        <v>3636</v>
      </c>
      <c r="M36" s="1">
        <v>16136.670000000002</v>
      </c>
      <c r="N36" s="1">
        <v>2434.66</v>
      </c>
      <c r="O36" s="1">
        <v>6344.25</v>
      </c>
      <c r="P36" s="1">
        <v>88017.427706753893</v>
      </c>
      <c r="Q36" s="1">
        <v>47319.073567268133</v>
      </c>
      <c r="R36" s="1">
        <v>5279.5979991220001</v>
      </c>
      <c r="S36" s="1">
        <v>7514.880000000001</v>
      </c>
      <c r="T36" s="1">
        <v>10084.42</v>
      </c>
      <c r="U36" s="1">
        <v>4066.6642177570002</v>
      </c>
      <c r="V36" s="1">
        <v>13752.791922606761</v>
      </c>
    </row>
    <row r="37" spans="1:22" x14ac:dyDescent="0.2">
      <c r="A37" s="8">
        <f t="shared" si="2"/>
        <v>46356</v>
      </c>
      <c r="B37" s="16">
        <v>667301</v>
      </c>
      <c r="C37" s="1" t="s">
        <v>24</v>
      </c>
      <c r="D37" s="1">
        <v>3049602.4716110583</v>
      </c>
      <c r="E37" s="1">
        <v>2698288.2668814645</v>
      </c>
      <c r="F37" s="11">
        <f t="shared" si="0"/>
        <v>0.88480000000000003</v>
      </c>
      <c r="G37" s="1">
        <v>1142233.9978541217</v>
      </c>
      <c r="H37" s="1">
        <v>1053156.0050656749</v>
      </c>
      <c r="I37" s="1">
        <v>1009523.4250656747</v>
      </c>
      <c r="J37" s="1">
        <v>7000</v>
      </c>
      <c r="K37" s="1">
        <v>8081.0000000000009</v>
      </c>
      <c r="L37" s="1">
        <v>3636</v>
      </c>
      <c r="M37" s="1">
        <v>16136.670000000002</v>
      </c>
      <c r="N37" s="1">
        <v>2434.66</v>
      </c>
      <c r="O37" s="1">
        <v>6344.25</v>
      </c>
      <c r="P37" s="1">
        <v>89077.992788446907</v>
      </c>
      <c r="Q37" s="1">
        <v>47096.383567268131</v>
      </c>
      <c r="R37" s="1">
        <v>5279.5979991220001</v>
      </c>
      <c r="S37" s="1">
        <v>7513.6900000000005</v>
      </c>
      <c r="T37" s="1">
        <v>10597.76</v>
      </c>
      <c r="U37" s="1">
        <v>3999.7792994488505</v>
      </c>
      <c r="V37" s="1">
        <v>14590.781922607915</v>
      </c>
    </row>
    <row r="38" spans="1:22" x14ac:dyDescent="0.2">
      <c r="A38" s="8">
        <f t="shared" si="2"/>
        <v>46387</v>
      </c>
      <c r="B38" s="16">
        <v>667301</v>
      </c>
      <c r="C38" s="1" t="s">
        <v>24</v>
      </c>
      <c r="D38" s="1">
        <v>2332867.1389745502</v>
      </c>
      <c r="E38" s="1">
        <v>2064120.8445646819</v>
      </c>
      <c r="F38" s="11">
        <f t="shared" si="0"/>
        <v>0.88479999999999992</v>
      </c>
      <c r="G38" s="1">
        <v>909873.11140214466</v>
      </c>
      <c r="H38" s="1">
        <v>825190.58369422867</v>
      </c>
      <c r="I38" s="1">
        <v>781558.0036942286</v>
      </c>
      <c r="J38" s="1">
        <v>7000</v>
      </c>
      <c r="K38" s="1">
        <v>8081.0000000000009</v>
      </c>
      <c r="L38" s="1">
        <v>3636</v>
      </c>
      <c r="M38" s="1">
        <v>16136.670000000002</v>
      </c>
      <c r="N38" s="1">
        <v>2434.66</v>
      </c>
      <c r="O38" s="1">
        <v>6344.25</v>
      </c>
      <c r="P38" s="1">
        <v>84682.527707916044</v>
      </c>
      <c r="Q38" s="1">
        <v>47151.403567268135</v>
      </c>
      <c r="R38" s="1">
        <v>5279.5979991220001</v>
      </c>
      <c r="S38" s="1">
        <v>7365.32</v>
      </c>
      <c r="T38" s="1">
        <v>6442.6900000000005</v>
      </c>
      <c r="U38" s="1">
        <v>3930.7582528912103</v>
      </c>
      <c r="V38" s="1">
        <v>14512.757888634689</v>
      </c>
    </row>
    <row r="39" spans="1:22" x14ac:dyDescent="0.2">
      <c r="A39" s="8">
        <f t="shared" si="2"/>
        <v>46053</v>
      </c>
      <c r="B39" s="16">
        <v>667401</v>
      </c>
      <c r="C39" s="1" t="s">
        <v>25</v>
      </c>
      <c r="D39" s="1">
        <v>2853523.1388839637</v>
      </c>
      <c r="E39" s="1">
        <v>2322767.8350515463</v>
      </c>
      <c r="F39" s="11">
        <f t="shared" si="0"/>
        <v>0.81399999999999995</v>
      </c>
      <c r="G39" s="1">
        <v>1206624.4320926047</v>
      </c>
      <c r="H39" s="1">
        <v>1067779.846552087</v>
      </c>
      <c r="I39" s="1">
        <v>1017850.0587158644</v>
      </c>
      <c r="J39" s="1">
        <v>15307.901345564413</v>
      </c>
      <c r="K39" s="1">
        <v>13000</v>
      </c>
      <c r="L39" s="1">
        <v>3550</v>
      </c>
      <c r="M39" s="1">
        <v>9652.5555382772054</v>
      </c>
      <c r="N39" s="1">
        <v>5377.580952380953</v>
      </c>
      <c r="O39" s="1">
        <v>3041.75</v>
      </c>
      <c r="P39" s="1">
        <v>138844.58554051758</v>
      </c>
      <c r="Q39" s="1">
        <v>59865.561808248887</v>
      </c>
      <c r="R39" s="1">
        <v>1670.01</v>
      </c>
      <c r="S39" s="1">
        <v>2196.5946666666669</v>
      </c>
      <c r="T39" s="1">
        <v>6105</v>
      </c>
      <c r="U39" s="1">
        <v>0</v>
      </c>
      <c r="V39" s="1">
        <v>69007.419065602051</v>
      </c>
    </row>
    <row r="40" spans="1:22" x14ac:dyDescent="0.2">
      <c r="A40" s="8">
        <f t="shared" si="2"/>
        <v>46081</v>
      </c>
      <c r="B40" s="16">
        <v>667401</v>
      </c>
      <c r="C40" s="1" t="s">
        <v>25</v>
      </c>
      <c r="D40" s="1">
        <v>2390381.9752273364</v>
      </c>
      <c r="E40" s="1">
        <v>1945770.9278350514</v>
      </c>
      <c r="F40" s="11">
        <f t="shared" si="0"/>
        <v>0.81399999999999983</v>
      </c>
      <c r="G40" s="1">
        <v>1015713.8403665801</v>
      </c>
      <c r="H40" s="1">
        <v>877406.39144860709</v>
      </c>
      <c r="I40" s="1">
        <v>833745.27656949637</v>
      </c>
      <c r="J40" s="1">
        <v>12823.351931642923</v>
      </c>
      <c r="K40" s="1">
        <v>13000</v>
      </c>
      <c r="L40" s="1">
        <v>3000</v>
      </c>
      <c r="M40" s="1">
        <v>9805.6605665153911</v>
      </c>
      <c r="N40" s="1">
        <v>1990.3523809523811</v>
      </c>
      <c r="O40" s="1">
        <v>3041.75</v>
      </c>
      <c r="P40" s="1">
        <v>138307.44891797303</v>
      </c>
      <c r="Q40" s="1">
        <v>59963.109015867936</v>
      </c>
      <c r="R40" s="1">
        <v>1670.01</v>
      </c>
      <c r="S40" s="1">
        <v>2196.5946666666669</v>
      </c>
      <c r="T40" s="1">
        <v>10132.396363636362</v>
      </c>
      <c r="U40" s="1">
        <v>0</v>
      </c>
      <c r="V40" s="1">
        <v>64345.338871802051</v>
      </c>
    </row>
    <row r="41" spans="1:22" x14ac:dyDescent="0.2">
      <c r="A41" s="8">
        <f t="shared" si="2"/>
        <v>46112</v>
      </c>
      <c r="B41" s="16">
        <v>667401</v>
      </c>
      <c r="C41" s="1" t="s">
        <v>25</v>
      </c>
      <c r="D41" s="1">
        <v>3035318.264140429</v>
      </c>
      <c r="E41" s="1">
        <v>2470749.0670103091</v>
      </c>
      <c r="F41" s="11">
        <f t="shared" si="0"/>
        <v>0.81399999999999995</v>
      </c>
      <c r="G41" s="1">
        <v>1284192.287585956</v>
      </c>
      <c r="H41" s="1">
        <v>1133846.6379720115</v>
      </c>
      <c r="I41" s="1">
        <v>1083865.6529743699</v>
      </c>
      <c r="J41" s="1">
        <v>16283.152537541398</v>
      </c>
      <c r="K41" s="1">
        <v>13000</v>
      </c>
      <c r="L41" s="1">
        <v>3000</v>
      </c>
      <c r="M41" s="1">
        <v>9634.5872220047531</v>
      </c>
      <c r="N41" s="1">
        <v>5021.4952380952382</v>
      </c>
      <c r="O41" s="1">
        <v>3041.75</v>
      </c>
      <c r="P41" s="1">
        <v>150345.64961394446</v>
      </c>
      <c r="Q41" s="1">
        <v>59139.482311106032</v>
      </c>
      <c r="R41" s="1">
        <v>1670.01</v>
      </c>
      <c r="S41" s="1">
        <v>2196.5946666666669</v>
      </c>
      <c r="T41" s="1">
        <v>12256.609696969697</v>
      </c>
      <c r="U41" s="1">
        <v>0</v>
      </c>
      <c r="V41" s="1">
        <v>75082.952939202049</v>
      </c>
    </row>
    <row r="42" spans="1:22" x14ac:dyDescent="0.2">
      <c r="A42" s="8">
        <f t="shared" si="2"/>
        <v>46142</v>
      </c>
      <c r="B42" s="16">
        <v>667401</v>
      </c>
      <c r="C42" s="1" t="s">
        <v>25</v>
      </c>
      <c r="D42" s="1">
        <v>2994481.597811495</v>
      </c>
      <c r="E42" s="1">
        <v>2437508.0206185565</v>
      </c>
      <c r="F42" s="11">
        <f t="shared" si="0"/>
        <v>0.81399999999999983</v>
      </c>
      <c r="G42" s="1">
        <v>1251193.3431116473</v>
      </c>
      <c r="H42" s="1">
        <v>1104159.7469471027</v>
      </c>
      <c r="I42" s="1">
        <v>1058516.213662673</v>
      </c>
      <c r="J42" s="1">
        <v>16064.081715606675</v>
      </c>
      <c r="K42" s="1">
        <v>13000</v>
      </c>
      <c r="L42" s="1">
        <v>3000</v>
      </c>
      <c r="M42" s="1">
        <v>8050.006330727877</v>
      </c>
      <c r="N42" s="1">
        <v>2487.6952380952384</v>
      </c>
      <c r="O42" s="1">
        <v>3041.75</v>
      </c>
      <c r="P42" s="1">
        <v>147033.59616454446</v>
      </c>
      <c r="Q42" s="1">
        <v>66311.880071106047</v>
      </c>
      <c r="R42" s="1">
        <v>1670.01</v>
      </c>
      <c r="S42" s="1">
        <v>2196.5946666666669</v>
      </c>
      <c r="T42" s="1">
        <v>11756.609696969697</v>
      </c>
      <c r="U42" s="1">
        <v>0</v>
      </c>
      <c r="V42" s="1">
        <v>65098.501729802054</v>
      </c>
    </row>
    <row r="43" spans="1:22" x14ac:dyDescent="0.2">
      <c r="A43" s="8">
        <f t="shared" si="2"/>
        <v>46173</v>
      </c>
      <c r="B43" s="16">
        <v>667401</v>
      </c>
      <c r="C43" s="1" t="s">
        <v>25</v>
      </c>
      <c r="D43" s="1">
        <v>2741814.8509334074</v>
      </c>
      <c r="E43" s="1">
        <v>2231837.2886597938</v>
      </c>
      <c r="F43" s="11">
        <f t="shared" si="0"/>
        <v>0.81400000000000006</v>
      </c>
      <c r="G43" s="1">
        <v>1069126.7286700762</v>
      </c>
      <c r="H43" s="1">
        <v>918047.41801695724</v>
      </c>
      <c r="I43" s="1">
        <v>871715.57316571486</v>
      </c>
      <c r="J43" s="1">
        <v>14708.635326611498</v>
      </c>
      <c r="K43" s="1">
        <v>13000</v>
      </c>
      <c r="L43" s="1">
        <v>3000</v>
      </c>
      <c r="M43" s="1">
        <v>8818.5261912975511</v>
      </c>
      <c r="N43" s="1">
        <v>3762.9333333333334</v>
      </c>
      <c r="O43" s="1">
        <v>3041.75</v>
      </c>
      <c r="P43" s="1">
        <v>151079.31065311906</v>
      </c>
      <c r="Q43" s="1">
        <v>58966.848674280634</v>
      </c>
      <c r="R43" s="1">
        <v>1670.01</v>
      </c>
      <c r="S43" s="1">
        <v>2196.5946666666669</v>
      </c>
      <c r="T43" s="1">
        <v>13206.609696969696</v>
      </c>
      <c r="U43" s="1">
        <v>0</v>
      </c>
      <c r="V43" s="1">
        <v>75039.247615202054</v>
      </c>
    </row>
    <row r="44" spans="1:22" x14ac:dyDescent="0.2">
      <c r="A44" s="8">
        <f t="shared" si="2"/>
        <v>46203</v>
      </c>
      <c r="B44" s="16">
        <v>667401</v>
      </c>
      <c r="C44" s="1" t="s">
        <v>25</v>
      </c>
      <c r="D44" s="1">
        <v>3051214.1834899574</v>
      </c>
      <c r="E44" s="1">
        <v>2483688.3453608248</v>
      </c>
      <c r="F44" s="11">
        <f t="shared" si="0"/>
        <v>0.81399999999999983</v>
      </c>
      <c r="G44" s="1">
        <v>1180038.5546984188</v>
      </c>
      <c r="H44" s="1">
        <v>1036616.2699967441</v>
      </c>
      <c r="I44" s="1">
        <v>988566.0366056062</v>
      </c>
      <c r="J44" s="1">
        <v>16368.427179924285</v>
      </c>
      <c r="K44" s="1">
        <v>13000</v>
      </c>
      <c r="L44" s="1">
        <v>3000</v>
      </c>
      <c r="M44" s="1">
        <v>9617.7419254993292</v>
      </c>
      <c r="N44" s="1">
        <v>3022.3142857142861</v>
      </c>
      <c r="O44" s="1">
        <v>3041.75</v>
      </c>
      <c r="P44" s="1">
        <v>143422.28470167462</v>
      </c>
      <c r="Q44" s="1">
        <v>59473.451639360006</v>
      </c>
      <c r="R44" s="1">
        <v>1670.01</v>
      </c>
      <c r="S44" s="1">
        <v>2196.5946666666669</v>
      </c>
      <c r="T44" s="1">
        <v>15237.085887445886</v>
      </c>
      <c r="U44" s="1">
        <v>0</v>
      </c>
      <c r="V44" s="1">
        <v>64845.142508202051</v>
      </c>
    </row>
    <row r="45" spans="1:22" x14ac:dyDescent="0.2">
      <c r="A45" s="8">
        <f t="shared" si="2"/>
        <v>46234</v>
      </c>
      <c r="B45" s="16">
        <v>667401</v>
      </c>
      <c r="C45" s="1" t="s">
        <v>25</v>
      </c>
      <c r="D45" s="1">
        <v>2805643.7599736569</v>
      </c>
      <c r="E45" s="1">
        <v>2283794.0206185565</v>
      </c>
      <c r="F45" s="11">
        <f t="shared" si="0"/>
        <v>0.81399999999999995</v>
      </c>
      <c r="G45" s="1">
        <v>1146025.9397775838</v>
      </c>
      <c r="H45" s="1">
        <v>999038.06515503943</v>
      </c>
      <c r="I45" s="1">
        <v>953216.63393714058</v>
      </c>
      <c r="J45" s="1">
        <v>15051.049456452858</v>
      </c>
      <c r="K45" s="1">
        <v>13000</v>
      </c>
      <c r="L45" s="1">
        <v>3000</v>
      </c>
      <c r="M45" s="1">
        <v>9738.2793804936955</v>
      </c>
      <c r="N45" s="1">
        <v>1990.3523809523811</v>
      </c>
      <c r="O45" s="1">
        <v>3041.75</v>
      </c>
      <c r="P45" s="1">
        <v>146987.87462254445</v>
      </c>
      <c r="Q45" s="1">
        <v>58401.086920629852</v>
      </c>
      <c r="R45" s="1">
        <v>1670.01</v>
      </c>
      <c r="S45" s="1">
        <v>2196.5946666666669</v>
      </c>
      <c r="T45" s="1">
        <v>17282.085887445886</v>
      </c>
      <c r="U45" s="1">
        <v>0</v>
      </c>
      <c r="V45" s="1">
        <v>67438.097147802051</v>
      </c>
    </row>
    <row r="46" spans="1:22" x14ac:dyDescent="0.2">
      <c r="A46" s="8">
        <f t="shared" si="2"/>
        <v>46265</v>
      </c>
      <c r="B46" s="16">
        <v>667401</v>
      </c>
      <c r="C46" s="1" t="s">
        <v>25</v>
      </c>
      <c r="D46" s="1">
        <v>3102542.5226069558</v>
      </c>
      <c r="E46" s="1">
        <v>2525469.6134020621</v>
      </c>
      <c r="F46" s="11">
        <f t="shared" si="0"/>
        <v>0.81400000000000006</v>
      </c>
      <c r="G46" s="1">
        <v>1197466.9924532827</v>
      </c>
      <c r="H46" s="1">
        <v>1053044.0515594336</v>
      </c>
      <c r="I46" s="1">
        <v>1003073.0343930984</v>
      </c>
      <c r="J46" s="1">
        <v>16643.781229354561</v>
      </c>
      <c r="K46" s="1">
        <v>13000</v>
      </c>
      <c r="L46" s="1">
        <v>3000</v>
      </c>
      <c r="M46" s="1">
        <v>9263.9906988854273</v>
      </c>
      <c r="N46" s="1">
        <v>5021.4952380952382</v>
      </c>
      <c r="O46" s="1">
        <v>3041.75</v>
      </c>
      <c r="P46" s="1">
        <v>144422.94089384921</v>
      </c>
      <c r="Q46" s="1">
        <v>58954.460215867941</v>
      </c>
      <c r="R46" s="1">
        <v>1670.01</v>
      </c>
      <c r="S46" s="1">
        <v>2196.5946666666669</v>
      </c>
      <c r="T46" s="1">
        <v>17148.752554112554</v>
      </c>
      <c r="U46" s="1">
        <v>0</v>
      </c>
      <c r="V46" s="1">
        <v>64453.123457202055</v>
      </c>
    </row>
    <row r="47" spans="1:22" x14ac:dyDescent="0.2">
      <c r="A47" s="8">
        <f t="shared" si="2"/>
        <v>46295</v>
      </c>
      <c r="B47" s="16">
        <v>667401</v>
      </c>
      <c r="C47" s="1" t="s">
        <v>25</v>
      </c>
      <c r="D47" s="1">
        <v>2592617.0179082556</v>
      </c>
      <c r="E47" s="1">
        <v>2110390.2525773197</v>
      </c>
      <c r="F47" s="11">
        <f t="shared" si="0"/>
        <v>0.81399999999999983</v>
      </c>
      <c r="G47" s="1">
        <v>1095377.5513027464</v>
      </c>
      <c r="H47" s="1">
        <v>948465.7643148019</v>
      </c>
      <c r="I47" s="1">
        <v>905414.38387109514</v>
      </c>
      <c r="J47" s="1">
        <v>13908.25432468478</v>
      </c>
      <c r="K47" s="1">
        <v>13000</v>
      </c>
      <c r="L47" s="1">
        <v>3000</v>
      </c>
      <c r="M47" s="1">
        <v>8111.0237380697463</v>
      </c>
      <c r="N47" s="1">
        <v>1990.3523809523811</v>
      </c>
      <c r="O47" s="1">
        <v>3041.75</v>
      </c>
      <c r="P47" s="1">
        <v>146911.78698794445</v>
      </c>
      <c r="Q47" s="1">
        <v>58971.086920629852</v>
      </c>
      <c r="R47" s="1">
        <v>1670.01</v>
      </c>
      <c r="S47" s="1">
        <v>2196.5946666666669</v>
      </c>
      <c r="T47" s="1">
        <v>17560.885887445889</v>
      </c>
      <c r="U47" s="1">
        <v>0</v>
      </c>
      <c r="V47" s="1">
        <v>66513.209513202048</v>
      </c>
    </row>
    <row r="48" spans="1:22" x14ac:dyDescent="0.2">
      <c r="A48" s="8">
        <f t="shared" si="2"/>
        <v>46326</v>
      </c>
      <c r="B48" s="16">
        <v>667401</v>
      </c>
      <c r="C48" s="1" t="s">
        <v>25</v>
      </c>
      <c r="D48" s="1">
        <v>3109168.5136401635</v>
      </c>
      <c r="E48" s="1">
        <v>2530863.1701030927</v>
      </c>
      <c r="F48" s="11">
        <f t="shared" si="0"/>
        <v>0.81399999999999983</v>
      </c>
      <c r="G48" s="1">
        <v>1287741.0533662767</v>
      </c>
      <c r="H48" s="1">
        <v>1144047.4869519195</v>
      </c>
      <c r="I48" s="1">
        <v>1095419.274926835</v>
      </c>
      <c r="J48" s="1">
        <v>16679.326768015446</v>
      </c>
      <c r="K48" s="1">
        <v>13000</v>
      </c>
      <c r="L48" s="1">
        <v>3000</v>
      </c>
      <c r="M48" s="1">
        <v>9144.2019237357454</v>
      </c>
      <c r="N48" s="1">
        <v>3762.9333333333334</v>
      </c>
      <c r="O48" s="1">
        <v>3041.75</v>
      </c>
      <c r="P48" s="1">
        <v>143693.56641435716</v>
      </c>
      <c r="Q48" s="1">
        <v>58721.82657904255</v>
      </c>
      <c r="R48" s="1">
        <v>1670.01</v>
      </c>
      <c r="S48" s="1">
        <v>2196.5946666666669</v>
      </c>
      <c r="T48" s="1">
        <v>16110.885887445887</v>
      </c>
      <c r="U48" s="1">
        <v>0</v>
      </c>
      <c r="V48" s="1">
        <v>64994.24928120205</v>
      </c>
    </row>
    <row r="49" spans="1:22" x14ac:dyDescent="0.2">
      <c r="A49" s="8">
        <f t="shared" si="2"/>
        <v>46356</v>
      </c>
      <c r="B49" s="16">
        <v>667401</v>
      </c>
      <c r="C49" s="1" t="s">
        <v>25</v>
      </c>
      <c r="D49" s="1">
        <v>3070404.2592264242</v>
      </c>
      <c r="E49" s="1">
        <v>2499309.0670103091</v>
      </c>
      <c r="F49" s="11">
        <f t="shared" si="0"/>
        <v>0.81399999999999995</v>
      </c>
      <c r="G49" s="1">
        <v>1222382.0778476438</v>
      </c>
      <c r="H49" s="1">
        <v>1077962.5262811279</v>
      </c>
      <c r="I49" s="1">
        <v>1029223.2987964158</v>
      </c>
      <c r="J49" s="1">
        <v>16471.373527961485</v>
      </c>
      <c r="K49" s="1">
        <v>13000</v>
      </c>
      <c r="L49" s="1">
        <v>3000</v>
      </c>
      <c r="M49" s="1">
        <v>8204.6087186554341</v>
      </c>
      <c r="N49" s="1">
        <v>5021.4952380952382</v>
      </c>
      <c r="O49" s="1">
        <v>3041.75</v>
      </c>
      <c r="P49" s="1">
        <v>144419.55156651587</v>
      </c>
      <c r="Q49" s="1">
        <v>59484.460215867941</v>
      </c>
      <c r="R49" s="1">
        <v>1670.01</v>
      </c>
      <c r="S49" s="1">
        <v>2196.5946666666669</v>
      </c>
      <c r="T49" s="1">
        <v>14914.219220779221</v>
      </c>
      <c r="U49" s="1">
        <v>0</v>
      </c>
      <c r="V49" s="1">
        <v>66154.26746320205</v>
      </c>
    </row>
    <row r="50" spans="1:22" x14ac:dyDescent="0.2">
      <c r="A50" s="8">
        <f t="shared" si="2"/>
        <v>46387</v>
      </c>
      <c r="B50" s="16">
        <v>667401</v>
      </c>
      <c r="C50" s="1" t="s">
        <v>25</v>
      </c>
      <c r="D50" s="1">
        <v>2802612.2748803161</v>
      </c>
      <c r="E50" s="1">
        <v>2281326.3917525774</v>
      </c>
      <c r="F50" s="11">
        <f t="shared" si="0"/>
        <v>0.81400000000000006</v>
      </c>
      <c r="G50" s="1">
        <v>1246431.6125909435</v>
      </c>
      <c r="H50" s="1">
        <v>1103682.3074960657</v>
      </c>
      <c r="I50" s="1">
        <v>1059335.1928649475</v>
      </c>
      <c r="J50" s="1">
        <v>15034.786867197125</v>
      </c>
      <c r="K50" s="1">
        <v>13000</v>
      </c>
      <c r="L50" s="1">
        <v>3000</v>
      </c>
      <c r="M50" s="1">
        <v>8280.2253829686706</v>
      </c>
      <c r="N50" s="1">
        <v>1990.3523809523811</v>
      </c>
      <c r="O50" s="1">
        <v>3041.75</v>
      </c>
      <c r="P50" s="1">
        <v>142749.30509487778</v>
      </c>
      <c r="Q50" s="1">
        <v>58071.086920629852</v>
      </c>
      <c r="R50" s="1">
        <v>1670.01</v>
      </c>
      <c r="S50" s="1">
        <v>2196.5946666666669</v>
      </c>
      <c r="T50" s="1">
        <v>16114.219220779221</v>
      </c>
      <c r="U50" s="1">
        <v>0</v>
      </c>
      <c r="V50" s="1">
        <v>64697.394286802053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5f938f-b03f-4133-941d-b4145eb714a9}" enabled="0" method="" siteId="{615f938f-b03f-4133-941d-b4145eb71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elemento_costo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Rodriguez</dc:creator>
  <cp:lastModifiedBy>Washington Rodriguez</cp:lastModifiedBy>
  <dcterms:created xsi:type="dcterms:W3CDTF">2026-06-29T13:21:42Z</dcterms:created>
  <dcterms:modified xsi:type="dcterms:W3CDTF">2026-07-15T14:57:52Z</dcterms:modified>
</cp:coreProperties>
</file>